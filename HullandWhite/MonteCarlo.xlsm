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n/Google 드라이브/개인-공부/수업자료/MEF_1-2/[O] 시뮬레이션/"/>
    </mc:Choice>
  </mc:AlternateContent>
  <bookViews>
    <workbookView xWindow="0" yWindow="460" windowWidth="33600" windowHeight="20540" tabRatio="500" activeTab="2"/>
  </bookViews>
  <sheets>
    <sheet name="European Option" sheetId="6" r:id="rId1"/>
    <sheet name="Diamond Fund" sheetId="7" r:id="rId2"/>
    <sheet name="TwoStockELS" sheetId="8" r:id="rId3"/>
  </sheets>
  <definedNames>
    <definedName name="output1">TwoStockELS!$B$3:$E$3</definedName>
    <definedName name="output2">TwoStockELS!$B$4:$E$4</definedName>
    <definedName name="output3">TwoStockELS!$B$5:$G$5</definedName>
    <definedName name="output4">TwoStockELS!$B$6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8" l="1"/>
  <c r="B20" i="7"/>
  <c r="C20" i="7"/>
  <c r="E20" i="7"/>
  <c r="B21" i="7"/>
  <c r="C21" i="7"/>
  <c r="E21" i="7"/>
  <c r="B22" i="7"/>
  <c r="C22" i="7"/>
  <c r="E22" i="7"/>
  <c r="B23" i="7"/>
  <c r="C23" i="7"/>
  <c r="E23" i="7"/>
  <c r="B24" i="7"/>
  <c r="C24" i="7"/>
  <c r="E24" i="7"/>
  <c r="B19" i="7"/>
  <c r="C19" i="7"/>
  <c r="E19" i="7"/>
  <c r="D20" i="7"/>
  <c r="D21" i="7"/>
  <c r="D22" i="7"/>
  <c r="D23" i="7"/>
  <c r="D24" i="7"/>
  <c r="D19" i="7"/>
  <c r="B16" i="7"/>
  <c r="C16" i="7"/>
  <c r="D16" i="7"/>
  <c r="E16" i="7"/>
  <c r="F16" i="7"/>
  <c r="B14" i="7"/>
  <c r="C14" i="7"/>
  <c r="D14" i="7"/>
  <c r="E14" i="7"/>
  <c r="F14" i="7"/>
  <c r="B15" i="7"/>
  <c r="C15" i="7"/>
  <c r="D15" i="7"/>
  <c r="E15" i="7"/>
  <c r="F15" i="7"/>
  <c r="C13" i="7"/>
  <c r="D13" i="7"/>
  <c r="E13" i="7"/>
  <c r="F13" i="7"/>
  <c r="B13" i="7"/>
  <c r="B19" i="6"/>
  <c r="B14" i="6"/>
  <c r="B11" i="6"/>
  <c r="B17" i="6"/>
  <c r="B18" i="6"/>
  <c r="B16" i="6"/>
  <c r="B12" i="6"/>
  <c r="B13" i="6"/>
  <c r="B6" i="6"/>
</calcChain>
</file>

<file path=xl/sharedStrings.xml><?xml version="1.0" encoding="utf-8"?>
<sst xmlns="http://schemas.openxmlformats.org/spreadsheetml/2006/main" count="32" uniqueCount="32">
  <si>
    <t>vol</t>
    <phoneticPr fontId="3" type="noConversion"/>
  </si>
  <si>
    <t>S</t>
    <phoneticPr fontId="3" type="noConversion"/>
  </si>
  <si>
    <t>K</t>
    <phoneticPr fontId="3" type="noConversion"/>
  </si>
  <si>
    <t>r</t>
    <phoneticPr fontId="3" type="noConversion"/>
  </si>
  <si>
    <t>q</t>
    <phoneticPr fontId="3" type="noConversion"/>
  </si>
  <si>
    <t>T</t>
    <phoneticPr fontId="3" type="noConversion"/>
  </si>
  <si>
    <t>call_put</t>
    <phoneticPr fontId="3" type="noConversion"/>
  </si>
  <si>
    <t>MonteCarlo</t>
    <phoneticPr fontId="3" type="noConversion"/>
  </si>
  <si>
    <t>Stratified sampling</t>
    <phoneticPr fontId="3" type="noConversion"/>
  </si>
  <si>
    <t>put</t>
    <phoneticPr fontId="3" type="noConversion"/>
  </si>
  <si>
    <t>Y0</t>
    <phoneticPr fontId="3" type="noConversion"/>
  </si>
  <si>
    <t>B0</t>
    <phoneticPr fontId="3" type="noConversion"/>
  </si>
  <si>
    <t>rD</t>
    <phoneticPr fontId="3" type="noConversion"/>
  </si>
  <si>
    <t>rY</t>
    <phoneticPr fontId="3" type="noConversion"/>
  </si>
  <si>
    <t>rB</t>
    <phoneticPr fontId="3" type="noConversion"/>
  </si>
  <si>
    <t>volY</t>
    <phoneticPr fontId="3" type="noConversion"/>
  </si>
  <si>
    <t>volB</t>
    <phoneticPr fontId="3" type="noConversion"/>
  </si>
  <si>
    <t>corr</t>
    <phoneticPr fontId="3" type="noConversion"/>
  </si>
  <si>
    <t>T</t>
    <phoneticPr fontId="3" type="noConversion"/>
  </si>
  <si>
    <t>MonteCarlo</t>
    <phoneticPr fontId="3" type="noConversion"/>
  </si>
  <si>
    <t>BlackSholes</t>
    <phoneticPr fontId="3" type="noConversion"/>
  </si>
  <si>
    <t>Yen Put Value</t>
    <phoneticPr fontId="3" type="noConversion"/>
  </si>
  <si>
    <t>Bart Put Value</t>
    <phoneticPr fontId="3" type="noConversion"/>
  </si>
  <si>
    <t>Bond Value</t>
    <phoneticPr fontId="3" type="noConversion"/>
  </si>
  <si>
    <t>Option Value</t>
    <phoneticPr fontId="3" type="noConversion"/>
  </si>
  <si>
    <t>time</t>
    <phoneticPr fontId="3" type="noConversion"/>
  </si>
  <si>
    <t>S1</t>
    <phoneticPr fontId="3" type="noConversion"/>
  </si>
  <si>
    <t>S2</t>
    <phoneticPr fontId="3" type="noConversion"/>
  </si>
  <si>
    <t>prob.</t>
    <phoneticPr fontId="3" type="noConversion"/>
  </si>
  <si>
    <t>error</t>
    <phoneticPr fontId="3" type="noConversion"/>
  </si>
  <si>
    <t>value</t>
    <phoneticPr fontId="3" type="noConversion"/>
  </si>
  <si>
    <t>(만원)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</si>
</sst>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176" formatCode="0_ "/>
    <numFmt numFmtId="177" formatCode="0.0%"/>
  </numFmts>
  <fonts count="6" x14ac:knownFonts="1"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1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0" applyNumberFormat="1"/>
    <xf numFmtId="0" fontId="4" fillId="2" borderId="0" xfId="0" applyFont="1" applyFill="1"/>
    <xf numFmtId="0" fontId="4" fillId="0" borderId="0" xfId="0" applyFont="1" applyFill="1" applyAlignment="1"/>
    <xf numFmtId="41" fontId="0" fillId="0" borderId="0" xfId="1" applyFont="1"/>
    <xf numFmtId="41" fontId="5" fillId="0" borderId="0" xfId="1" applyFont="1"/>
    <xf numFmtId="0" fontId="4" fillId="0" borderId="0" xfId="0" applyFont="1"/>
    <xf numFmtId="176" fontId="4" fillId="0" borderId="0" xfId="0" applyNumberFormat="1" applyFont="1"/>
    <xf numFmtId="9" fontId="4" fillId="0" borderId="0" xfId="0" applyNumberFormat="1" applyFont="1"/>
    <xf numFmtId="177" fontId="0" fillId="0" borderId="0" xfId="2" applyNumberFormat="1" applyFont="1"/>
  </cellXfs>
  <cellStyles count="3">
    <cellStyle name="기본" xfId="0" builtinId="0"/>
    <cellStyle name="백분율" xfId="2" builtinId="5"/>
    <cellStyle name="쉼표[0]" xfId="1" builtinId="6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시트1" enableFormatConditionsCalculation="0"/>
  <dimension ref="A1:B19"/>
  <sheetViews>
    <sheetView workbookViewId="0">
      <selection activeCell="B15" sqref="B15"/>
    </sheetView>
  </sheetViews>
  <sheetFormatPr baseColWidth="10" defaultRowHeight="18" x14ac:dyDescent="0.25"/>
  <cols>
    <col min="2" max="2" width="16.7109375" bestFit="1" customWidth="1"/>
  </cols>
  <sheetData>
    <row r="1" spans="1:2" x14ac:dyDescent="0.25">
      <c r="A1" s="3"/>
      <c r="B1" s="3"/>
    </row>
    <row r="2" spans="1:2" x14ac:dyDescent="0.25">
      <c r="A2" t="s">
        <v>1</v>
      </c>
      <c r="B2">
        <v>217</v>
      </c>
    </row>
    <row r="3" spans="1:2" x14ac:dyDescent="0.25">
      <c r="A3" t="s">
        <v>2</v>
      </c>
      <c r="B3">
        <v>215</v>
      </c>
    </row>
    <row r="4" spans="1:2" x14ac:dyDescent="0.25">
      <c r="A4" t="s">
        <v>3</v>
      </c>
      <c r="B4" s="1">
        <v>0.05</v>
      </c>
    </row>
    <row r="5" spans="1:2" x14ac:dyDescent="0.25">
      <c r="A5" t="s">
        <v>4</v>
      </c>
      <c r="B5" s="1">
        <v>0</v>
      </c>
    </row>
    <row r="6" spans="1:2" x14ac:dyDescent="0.25">
      <c r="A6" t="s">
        <v>5</v>
      </c>
      <c r="B6">
        <f>1/12</f>
        <v>8.3333333333333329E-2</v>
      </c>
    </row>
    <row r="7" spans="1:2" x14ac:dyDescent="0.25">
      <c r="A7" t="s">
        <v>0</v>
      </c>
      <c r="B7" s="1">
        <v>0.3</v>
      </c>
    </row>
    <row r="8" spans="1:2" x14ac:dyDescent="0.25">
      <c r="A8" t="s">
        <v>6</v>
      </c>
      <c r="B8" t="s">
        <v>9</v>
      </c>
    </row>
    <row r="10" spans="1:2" x14ac:dyDescent="0.25">
      <c r="B10" s="2" t="s">
        <v>7</v>
      </c>
    </row>
    <row r="11" spans="1:2" x14ac:dyDescent="0.25">
      <c r="A11">
        <v>10</v>
      </c>
      <c r="B11">
        <f>MonteCarlo($B$2,$B$3,$B$4,$B$5,$B$6,$B$7,$B$8,A11)</f>
        <v>7.360108211252002</v>
      </c>
    </row>
    <row r="12" spans="1:2" x14ac:dyDescent="0.25">
      <c r="A12">
        <v>100</v>
      </c>
      <c r="B12">
        <f t="shared" ref="B12:B14" si="0">MonteCarlo($B$2,$B$3,$B$4,$B$5,$B$6,$B$7,$B$8,A12)</f>
        <v>4.5209195240712123</v>
      </c>
    </row>
    <row r="13" spans="1:2" x14ac:dyDescent="0.25">
      <c r="A13">
        <v>1000</v>
      </c>
      <c r="B13">
        <f t="shared" si="0"/>
        <v>5.6749986672030319</v>
      </c>
    </row>
    <row r="14" spans="1:2" x14ac:dyDescent="0.25">
      <c r="A14">
        <v>10000</v>
      </c>
      <c r="B14">
        <f t="shared" si="0"/>
        <v>6.0426677462776004</v>
      </c>
    </row>
    <row r="15" spans="1:2" x14ac:dyDescent="0.25">
      <c r="B15" s="2" t="s">
        <v>8</v>
      </c>
    </row>
    <row r="16" spans="1:2" x14ac:dyDescent="0.25">
      <c r="A16">
        <v>10</v>
      </c>
      <c r="B16">
        <f>Statified($B$2,$B$3,$B$4,$B$5,$B$6,$B$7,$B$8,A16)</f>
        <v>5.8554562976525597</v>
      </c>
    </row>
    <row r="17" spans="1:2" x14ac:dyDescent="0.25">
      <c r="A17">
        <v>100</v>
      </c>
      <c r="B17">
        <f t="shared" ref="B17:B19" si="1">Statified($B$2,$B$3,$B$4,$B$5,$B$6,$B$7,$B$8,A17)</f>
        <v>6.0718487523743025</v>
      </c>
    </row>
    <row r="18" spans="1:2" x14ac:dyDescent="0.25">
      <c r="A18">
        <v>1000</v>
      </c>
      <c r="B18">
        <f t="shared" si="1"/>
        <v>6.0859419510890005</v>
      </c>
    </row>
    <row r="19" spans="1:2" x14ac:dyDescent="0.25">
      <c r="A19">
        <v>10000</v>
      </c>
      <c r="B19">
        <f t="shared" si="1"/>
        <v>6.0870482763700897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시트2" enableFormatConditionsCalculation="0"/>
  <dimension ref="A2:F24"/>
  <sheetViews>
    <sheetView zoomScale="150" workbookViewId="0">
      <selection activeCell="B26" sqref="B26"/>
    </sheetView>
  </sheetViews>
  <sheetFormatPr baseColWidth="10" defaultRowHeight="18" x14ac:dyDescent="0.25"/>
  <cols>
    <col min="2" max="2" width="12.28515625" bestFit="1" customWidth="1"/>
    <col min="3" max="3" width="12.42578125" bestFit="1" customWidth="1"/>
    <col min="4" max="5" width="12.28515625" bestFit="1" customWidth="1"/>
  </cols>
  <sheetData>
    <row r="2" spans="1:6" x14ac:dyDescent="0.25">
      <c r="A2" t="s">
        <v>10</v>
      </c>
      <c r="B2">
        <v>122</v>
      </c>
    </row>
    <row r="3" spans="1:6" x14ac:dyDescent="0.25">
      <c r="A3" t="s">
        <v>11</v>
      </c>
      <c r="B3">
        <v>25.884</v>
      </c>
    </row>
    <row r="4" spans="1:6" x14ac:dyDescent="0.25">
      <c r="A4" t="s">
        <v>12</v>
      </c>
      <c r="B4" s="1">
        <v>0.05</v>
      </c>
    </row>
    <row r="5" spans="1:6" x14ac:dyDescent="0.25">
      <c r="A5" t="s">
        <v>13</v>
      </c>
      <c r="B5" s="1">
        <v>0.02</v>
      </c>
    </row>
    <row r="6" spans="1:6" x14ac:dyDescent="0.25">
      <c r="A6" t="s">
        <v>14</v>
      </c>
      <c r="B6" s="1">
        <v>0.13</v>
      </c>
    </row>
    <row r="7" spans="1:6" x14ac:dyDescent="0.25">
      <c r="A7" t="s">
        <v>15</v>
      </c>
      <c r="B7" s="1">
        <v>0.1</v>
      </c>
    </row>
    <row r="8" spans="1:6" x14ac:dyDescent="0.25">
      <c r="A8" t="s">
        <v>16</v>
      </c>
      <c r="B8" s="1">
        <v>0.1</v>
      </c>
    </row>
    <row r="9" spans="1:6" x14ac:dyDescent="0.25">
      <c r="A9" t="s">
        <v>17</v>
      </c>
      <c r="B9" s="1">
        <v>0.3</v>
      </c>
    </row>
    <row r="10" spans="1:6" x14ac:dyDescent="0.25">
      <c r="A10" t="s">
        <v>18</v>
      </c>
      <c r="B10" s="1">
        <v>0.01</v>
      </c>
    </row>
    <row r="12" spans="1:6" x14ac:dyDescent="0.25">
      <c r="A12" s="2" t="s">
        <v>19</v>
      </c>
      <c r="B12" s="7">
        <v>-1</v>
      </c>
      <c r="C12" s="6">
        <v>-0.5</v>
      </c>
      <c r="D12" s="6">
        <v>0</v>
      </c>
      <c r="E12" s="6">
        <v>0.5</v>
      </c>
      <c r="F12" s="6">
        <v>1</v>
      </c>
    </row>
    <row r="13" spans="1:6" x14ac:dyDescent="0.25">
      <c r="A13" s="6">
        <v>1</v>
      </c>
      <c r="B13">
        <f>Diamond($B$7,$B$8,B$12,$A13)</f>
        <v>75485931.964979008</v>
      </c>
      <c r="C13">
        <f t="shared" ref="C13:F16" si="0">Diamond($B$7,$B$8,C$12,$A13)</f>
        <v>70382904.807115138</v>
      </c>
      <c r="D13">
        <f t="shared" si="0"/>
        <v>93122655.862748727</v>
      </c>
      <c r="E13">
        <f t="shared" si="0"/>
        <v>66571587.03062024</v>
      </c>
      <c r="F13">
        <f t="shared" si="0"/>
        <v>58147219.204779655</v>
      </c>
    </row>
    <row r="14" spans="1:6" x14ac:dyDescent="0.25">
      <c r="A14" s="6">
        <v>100</v>
      </c>
      <c r="B14">
        <f t="shared" ref="B14:B16" si="1">Diamond($B$7,$B$8,B$12,$A14)</f>
        <v>63793891.566498004</v>
      </c>
      <c r="C14">
        <f t="shared" si="0"/>
        <v>60031132.403431319</v>
      </c>
      <c r="D14">
        <f t="shared" si="0"/>
        <v>62462139.37453153</v>
      </c>
      <c r="E14">
        <f t="shared" si="0"/>
        <v>65615633.371384077</v>
      </c>
      <c r="F14">
        <f t="shared" si="0"/>
        <v>64982478.073872387</v>
      </c>
    </row>
    <row r="15" spans="1:6" x14ac:dyDescent="0.25">
      <c r="A15" s="6">
        <v>1000</v>
      </c>
      <c r="B15">
        <f t="shared" si="1"/>
        <v>62473241.503093459</v>
      </c>
      <c r="C15">
        <f t="shared" si="0"/>
        <v>62081896.76923468</v>
      </c>
      <c r="D15">
        <f t="shared" si="0"/>
        <v>62741434.903186157</v>
      </c>
      <c r="E15">
        <f t="shared" si="0"/>
        <v>63250144.055757932</v>
      </c>
      <c r="F15">
        <f t="shared" si="0"/>
        <v>62555082.938408062</v>
      </c>
    </row>
    <row r="16" spans="1:6" x14ac:dyDescent="0.25">
      <c r="A16" s="6">
        <v>10000</v>
      </c>
      <c r="B16">
        <f t="shared" si="1"/>
        <v>62936511.718661696</v>
      </c>
      <c r="C16">
        <f t="shared" si="0"/>
        <v>62929131.447613299</v>
      </c>
      <c r="D16">
        <f t="shared" si="0"/>
        <v>63032975.084663659</v>
      </c>
      <c r="E16">
        <f t="shared" si="0"/>
        <v>63009258.90413326</v>
      </c>
      <c r="F16">
        <f t="shared" si="0"/>
        <v>62844681.521664873</v>
      </c>
    </row>
    <row r="18" spans="1:5" x14ac:dyDescent="0.25">
      <c r="A18" s="2" t="s">
        <v>20</v>
      </c>
      <c r="B18" s="6" t="s">
        <v>21</v>
      </c>
      <c r="C18" s="6" t="s">
        <v>22</v>
      </c>
      <c r="D18" s="6" t="s">
        <v>23</v>
      </c>
      <c r="E18" s="6" t="s">
        <v>24</v>
      </c>
    </row>
    <row r="19" spans="1:5" x14ac:dyDescent="0.25">
      <c r="A19" s="8">
        <v>0.01</v>
      </c>
      <c r="B19" s="5">
        <f>53000000*-$B$2*bs(1/$B$2, 1/$B$2,$B$4,$B$5,A19,1,"put")</f>
        <v>-195.57333125589295</v>
      </c>
      <c r="C19" s="4">
        <f>53000000*5*$B$3*bs(1/$B$3, 6/(5*$B$3), $B$4,$B$6,A19,1,"put")</f>
        <v>69795667.797278285</v>
      </c>
      <c r="D19" s="5">
        <f>53000000*(-0.03)*EXP(-$B$4*1)</f>
        <v>-1512454.7849561353</v>
      </c>
      <c r="E19" s="4">
        <f>B19+C19+D19</f>
        <v>68283017.438990891</v>
      </c>
    </row>
    <row r="20" spans="1:5" x14ac:dyDescent="0.25">
      <c r="A20" s="8">
        <v>0.05</v>
      </c>
      <c r="B20" s="5">
        <f t="shared" ref="B20:B24" si="2">53000000*-$B$2*bs(1/$B$2, 1/$B$2,$B$4,$B$5,A20,1,"put")</f>
        <v>-431536.3278604541</v>
      </c>
      <c r="C20" s="4">
        <f t="shared" ref="C20:C24" si="3">53000000*5*$B$3*bs(1/$B$3, 6/(5*$B$3), $B$4,$B$6,A20,1,"put")</f>
        <v>69795667.98109217</v>
      </c>
      <c r="D20" s="5">
        <f t="shared" ref="D20:D24" si="4">53000000*(-0.03)*EXP(-$B$4*1)</f>
        <v>-1512454.7849561353</v>
      </c>
      <c r="E20" s="4">
        <f t="shared" ref="E20:E24" si="5">B20+C20+D20</f>
        <v>67851676.868275568</v>
      </c>
    </row>
    <row r="21" spans="1:5" x14ac:dyDescent="0.25">
      <c r="A21" s="8">
        <v>0.1</v>
      </c>
      <c r="B21" s="5">
        <f t="shared" si="2"/>
        <v>-1364444.5595728734</v>
      </c>
      <c r="C21" s="4">
        <f t="shared" si="3"/>
        <v>69831692.012125626</v>
      </c>
      <c r="D21" s="5">
        <f t="shared" si="4"/>
        <v>-1512454.7849561353</v>
      </c>
      <c r="E21" s="4">
        <f t="shared" si="5"/>
        <v>66954792.667596616</v>
      </c>
    </row>
    <row r="22" spans="1:5" x14ac:dyDescent="0.25">
      <c r="A22" s="8">
        <v>0.2</v>
      </c>
      <c r="B22" s="5">
        <f t="shared" si="2"/>
        <v>-3354942.7326014568</v>
      </c>
      <c r="C22" s="4">
        <f t="shared" si="3"/>
        <v>72144285.339360774</v>
      </c>
      <c r="D22" s="5">
        <f t="shared" si="4"/>
        <v>-1512454.7849561353</v>
      </c>
      <c r="E22" s="4">
        <f t="shared" si="5"/>
        <v>67276887.821803167</v>
      </c>
    </row>
    <row r="23" spans="1:5" x14ac:dyDescent="0.25">
      <c r="A23" s="8">
        <v>0.3</v>
      </c>
      <c r="B23" s="5">
        <f t="shared" si="2"/>
        <v>-5365378.8857053081</v>
      </c>
      <c r="C23" s="4">
        <f t="shared" si="3"/>
        <v>78114160.498724863</v>
      </c>
      <c r="D23" s="5">
        <f t="shared" si="4"/>
        <v>-1512454.7849561353</v>
      </c>
      <c r="E23" s="4">
        <f t="shared" si="5"/>
        <v>71236326.828063414</v>
      </c>
    </row>
    <row r="24" spans="1:5" x14ac:dyDescent="0.25">
      <c r="A24" s="8">
        <v>0.5</v>
      </c>
      <c r="B24" s="5">
        <f t="shared" si="2"/>
        <v>-9354260.6479715239</v>
      </c>
      <c r="C24" s="4">
        <f t="shared" si="3"/>
        <v>94635778.387274131</v>
      </c>
      <c r="D24" s="5">
        <f t="shared" si="4"/>
        <v>-1512454.7849561353</v>
      </c>
      <c r="E24" s="4">
        <f t="shared" si="5"/>
        <v>83769062.954346463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시트3" enableFormatConditionsCalculation="0"/>
  <dimension ref="A1:H7"/>
  <sheetViews>
    <sheetView tabSelected="1" zoomScale="200" workbookViewId="0">
      <selection activeCell="A2" sqref="A2"/>
    </sheetView>
  </sheetViews>
  <sheetFormatPr baseColWidth="10" defaultRowHeight="18" x14ac:dyDescent="0.25"/>
  <sheetData>
    <row r="1" spans="1:8" x14ac:dyDescent="0.25">
      <c r="A1" t="s">
        <v>31</v>
      </c>
    </row>
    <row r="2" spans="1:8" x14ac:dyDescent="0.25">
      <c r="A2" t="s">
        <v>25</v>
      </c>
      <c r="B2">
        <v>0.5</v>
      </c>
      <c r="C2">
        <v>1</v>
      </c>
      <c r="D2">
        <v>1.5</v>
      </c>
      <c r="E2">
        <v>2</v>
      </c>
    </row>
    <row r="3" spans="1:8" x14ac:dyDescent="0.25">
      <c r="A3" t="s">
        <v>26</v>
      </c>
      <c r="B3">
        <v>87.387130255904523</v>
      </c>
      <c r="C3">
        <v>61.106937186883449</v>
      </c>
      <c r="D3">
        <v>61.306440344269213</v>
      </c>
      <c r="E3">
        <v>50.986023670706885</v>
      </c>
    </row>
    <row r="4" spans="1:8" x14ac:dyDescent="0.25">
      <c r="A4" t="s">
        <v>27</v>
      </c>
      <c r="B4">
        <v>79.466430048671356</v>
      </c>
      <c r="C4">
        <v>65.620993492954597</v>
      </c>
      <c r="D4">
        <v>62.082043502169149</v>
      </c>
      <c r="E4">
        <v>56.515232795589533</v>
      </c>
    </row>
    <row r="5" spans="1:8" x14ac:dyDescent="0.25">
      <c r="A5" t="s">
        <v>28</v>
      </c>
      <c r="B5" s="9">
        <v>0.61850000000000005</v>
      </c>
      <c r="C5" s="9">
        <v>0.123</v>
      </c>
      <c r="D5" s="9">
        <v>7.0999999999999994E-2</v>
      </c>
      <c r="E5" s="9">
        <v>4.4499999999999998E-2</v>
      </c>
      <c r="F5" s="9">
        <v>3.0000000000000001E-3</v>
      </c>
      <c r="G5" s="9">
        <v>0.14000000000000001</v>
      </c>
      <c r="H5" s="9">
        <f>SUM(output3)</f>
        <v>1</v>
      </c>
    </row>
    <row r="6" spans="1:8" x14ac:dyDescent="0.25">
      <c r="A6" t="s">
        <v>30</v>
      </c>
      <c r="B6">
        <v>96.952525501909108</v>
      </c>
      <c r="C6">
        <v>2000</v>
      </c>
    </row>
    <row r="7" spans="1:8" x14ac:dyDescent="0.25">
      <c r="A7" t="s">
        <v>29</v>
      </c>
      <c r="B7">
        <v>0.46219115002447447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European Option</vt:lpstr>
      <vt:lpstr>Diamond Fund</vt:lpstr>
      <vt:lpstr>TwoStockELS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사용자</dc:creator>
  <cp:lastModifiedBy>Microsoft Office 사용자</cp:lastModifiedBy>
  <dcterms:created xsi:type="dcterms:W3CDTF">2018-08-28T04:42:31Z</dcterms:created>
  <dcterms:modified xsi:type="dcterms:W3CDTF">2018-09-27T04:38:35Z</dcterms:modified>
</cp:coreProperties>
</file>