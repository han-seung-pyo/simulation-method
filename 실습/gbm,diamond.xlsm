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C:\Users\한승표\Desktop\"/>
    </mc:Choice>
  </mc:AlternateContent>
  <bookViews>
    <workbookView xWindow="0" yWindow="0" windowWidth="23040" windowHeight="9108" activeTab="3"/>
  </bookViews>
  <sheets>
    <sheet name="gbm" sheetId="1" r:id="rId1"/>
    <sheet name="Euro option" sheetId="2" r:id="rId2"/>
    <sheet name="Diamond fund" sheetId="3" r:id="rId3"/>
    <sheet name="ELS 시뮬레이션" sheetId="4" r:id="rId4"/>
  </sheets>
  <functionGroups builtInGroupCount="18"/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gbm!$Q$8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3" l="1"/>
  <c r="B27" i="3"/>
  <c r="C27" i="3"/>
  <c r="E27" i="3" l="1"/>
  <c r="D22" i="3"/>
  <c r="D23" i="3"/>
  <c r="D24" i="3"/>
  <c r="D25" i="3"/>
  <c r="D26" i="3"/>
  <c r="D21" i="3"/>
  <c r="B5" i="2" l="1"/>
  <c r="B12" i="2"/>
  <c r="B14" i="2"/>
  <c r="B16" i="2"/>
  <c r="B15" i="2"/>
  <c r="B10" i="2"/>
  <c r="B11" i="2"/>
  <c r="C25" i="3"/>
  <c r="B21" i="3"/>
  <c r="E16" i="3"/>
  <c r="C14" i="3"/>
  <c r="G13" i="3"/>
  <c r="C21" i="3"/>
  <c r="G14" i="3"/>
  <c r="B23" i="3"/>
  <c r="D15" i="3"/>
  <c r="B26" i="3"/>
  <c r="F14" i="3"/>
  <c r="C24" i="3"/>
  <c r="C26" i="3"/>
  <c r="C17" i="3"/>
  <c r="F16" i="3"/>
  <c r="E14" i="3"/>
  <c r="C13" i="3"/>
  <c r="D17" i="3"/>
  <c r="G16" i="3"/>
  <c r="E17" i="3"/>
  <c r="F15" i="3"/>
  <c r="C16" i="3"/>
  <c r="E13" i="3"/>
  <c r="D16" i="3"/>
  <c r="C15" i="3"/>
  <c r="B24" i="3"/>
  <c r="F17" i="3"/>
  <c r="D14" i="3"/>
  <c r="E15" i="3"/>
  <c r="C22" i="3"/>
  <c r="B25" i="3"/>
  <c r="G17" i="3"/>
  <c r="G15" i="3"/>
  <c r="D13" i="3"/>
  <c r="C23" i="3"/>
  <c r="B22" i="3"/>
  <c r="F13" i="3"/>
  <c r="E22" i="3" l="1"/>
  <c r="E25" i="3"/>
  <c r="E24" i="3"/>
  <c r="E26" i="3"/>
  <c r="E23" i="3"/>
  <c r="E21" i="3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3" i="1"/>
  <c r="G3" i="1" s="1"/>
  <c r="B4" i="1"/>
  <c r="G4" i="1" l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</calcChain>
</file>

<file path=xl/sharedStrings.xml><?xml version="1.0" encoding="utf-8"?>
<sst xmlns="http://schemas.openxmlformats.org/spreadsheetml/2006/main" count="32" uniqueCount="31">
  <si>
    <t>mu</t>
    <phoneticPr fontId="1" type="noConversion"/>
  </si>
  <si>
    <t>vol</t>
    <phoneticPr fontId="1" type="noConversion"/>
  </si>
  <si>
    <t xml:space="preserve">dt </t>
    <phoneticPr fontId="1" type="noConversion"/>
  </si>
  <si>
    <t>하루를 의미, 종가를 시뮬레이션 한다</t>
    <phoneticPr fontId="1" type="noConversion"/>
  </si>
  <si>
    <t>day</t>
    <phoneticPr fontId="1" type="noConversion"/>
  </si>
  <si>
    <t>epsilon</t>
    <phoneticPr fontId="1" type="noConversion"/>
  </si>
  <si>
    <t>s</t>
    <phoneticPr fontId="1" type="noConversion"/>
  </si>
  <si>
    <t>k</t>
    <phoneticPr fontId="1" type="noConversion"/>
  </si>
  <si>
    <t>r</t>
    <phoneticPr fontId="1" type="noConversion"/>
  </si>
  <si>
    <t>q</t>
    <phoneticPr fontId="1" type="noConversion"/>
  </si>
  <si>
    <t>t</t>
    <phoneticPr fontId="1" type="noConversion"/>
  </si>
  <si>
    <t>vol</t>
    <phoneticPr fontId="1" type="noConversion"/>
  </si>
  <si>
    <t xml:space="preserve">cal_put </t>
    <phoneticPr fontId="1" type="noConversion"/>
  </si>
  <si>
    <t>put</t>
    <phoneticPr fontId="1" type="noConversion"/>
  </si>
  <si>
    <t>monte</t>
    <phoneticPr fontId="1" type="noConversion"/>
  </si>
  <si>
    <t>stra</t>
    <phoneticPr fontId="1" type="noConversion"/>
  </si>
  <si>
    <t xml:space="preserve">y0 </t>
    <phoneticPr fontId="1" type="noConversion"/>
  </si>
  <si>
    <t>b0</t>
    <phoneticPr fontId="1" type="noConversion"/>
  </si>
  <si>
    <t>rD</t>
    <phoneticPr fontId="1" type="noConversion"/>
  </si>
  <si>
    <t>rY</t>
    <phoneticPr fontId="1" type="noConversion"/>
  </si>
  <si>
    <t>rB</t>
    <phoneticPr fontId="1" type="noConversion"/>
  </si>
  <si>
    <t>volY</t>
    <phoneticPr fontId="1" type="noConversion"/>
  </si>
  <si>
    <t>VOLb</t>
    <phoneticPr fontId="1" type="noConversion"/>
  </si>
  <si>
    <t>corr</t>
    <phoneticPr fontId="1" type="noConversion"/>
  </si>
  <si>
    <t>T</t>
    <phoneticPr fontId="1" type="noConversion"/>
  </si>
  <si>
    <t>diamond fund</t>
    <phoneticPr fontId="1" type="noConversion"/>
  </si>
  <si>
    <t>monte</t>
    <phoneticPr fontId="1" type="noConversion"/>
  </si>
  <si>
    <t xml:space="preserve">put option으로 나눠서 계산. </t>
    <phoneticPr fontId="1" type="noConversion"/>
  </si>
  <si>
    <t>yen option</t>
    <phoneticPr fontId="1" type="noConversion"/>
  </si>
  <si>
    <t>bath option</t>
    <phoneticPr fontId="1" type="noConversion"/>
  </si>
  <si>
    <t xml:space="preserve">0.03 채권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</si>
</sst>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41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gbm!$G$1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gbm!$G$2:$G$252</c:f>
              <c:numCache>
                <c:formatCode>General</c:formatCode>
                <c:ptCount val="251"/>
                <c:pt idx="0">
                  <c:v>2285</c:v>
                </c:pt>
                <c:pt idx="1">
                  <c:v>2273.314925474353</c:v>
                </c:pt>
                <c:pt idx="2">
                  <c:v>2305.7815977748714</c:v>
                </c:pt>
                <c:pt idx="3">
                  <c:v>2315.8890040849169</c:v>
                </c:pt>
                <c:pt idx="4">
                  <c:v>2308.4161801373298</c:v>
                </c:pt>
                <c:pt idx="5">
                  <c:v>2302.6687355501986</c:v>
                </c:pt>
                <c:pt idx="6">
                  <c:v>2285.1003999922518</c:v>
                </c:pt>
                <c:pt idx="7">
                  <c:v>2334.2777403074415</c:v>
                </c:pt>
                <c:pt idx="8">
                  <c:v>2273.2612920870079</c:v>
                </c:pt>
                <c:pt idx="9">
                  <c:v>2273.7645620849116</c:v>
                </c:pt>
                <c:pt idx="10">
                  <c:v>2266.00034424963</c:v>
                </c:pt>
                <c:pt idx="11">
                  <c:v>2280.1826186191256</c:v>
                </c:pt>
                <c:pt idx="12">
                  <c:v>2283.9228424897274</c:v>
                </c:pt>
                <c:pt idx="13">
                  <c:v>2298.2025188493753</c:v>
                </c:pt>
                <c:pt idx="14">
                  <c:v>2302.0461815772587</c:v>
                </c:pt>
                <c:pt idx="15">
                  <c:v>2289.7132507959041</c:v>
                </c:pt>
                <c:pt idx="16">
                  <c:v>2308.9021851192488</c:v>
                </c:pt>
                <c:pt idx="17">
                  <c:v>2350.629554067481</c:v>
                </c:pt>
                <c:pt idx="18">
                  <c:v>2338.2231847984854</c:v>
                </c:pt>
                <c:pt idx="19">
                  <c:v>2324.5541047622282</c:v>
                </c:pt>
                <c:pt idx="20">
                  <c:v>2355.9313195812065</c:v>
                </c:pt>
                <c:pt idx="21">
                  <c:v>2355.0084349924737</c:v>
                </c:pt>
                <c:pt idx="22">
                  <c:v>2380.4911336393102</c:v>
                </c:pt>
                <c:pt idx="23">
                  <c:v>2391.1539691112775</c:v>
                </c:pt>
                <c:pt idx="24">
                  <c:v>2376.5484879623127</c:v>
                </c:pt>
                <c:pt idx="25">
                  <c:v>2367.3818422606619</c:v>
                </c:pt>
                <c:pt idx="26">
                  <c:v>2438.3161058137175</c:v>
                </c:pt>
                <c:pt idx="27">
                  <c:v>2405.934720667959</c:v>
                </c:pt>
                <c:pt idx="28">
                  <c:v>2365.4195426378274</c:v>
                </c:pt>
                <c:pt idx="29">
                  <c:v>2382.4983863919165</c:v>
                </c:pt>
                <c:pt idx="30">
                  <c:v>2380.9520569040842</c:v>
                </c:pt>
                <c:pt idx="31">
                  <c:v>2395.4592836636102</c:v>
                </c:pt>
                <c:pt idx="32">
                  <c:v>2426.1411533352243</c:v>
                </c:pt>
                <c:pt idx="33">
                  <c:v>2447.1112215878325</c:v>
                </c:pt>
                <c:pt idx="34">
                  <c:v>2431.4206321298698</c:v>
                </c:pt>
                <c:pt idx="35">
                  <c:v>2416.8130702082904</c:v>
                </c:pt>
                <c:pt idx="36">
                  <c:v>2468.6775713782808</c:v>
                </c:pt>
                <c:pt idx="37">
                  <c:v>2513.487110166312</c:v>
                </c:pt>
                <c:pt idx="38">
                  <c:v>2488.8220335810151</c:v>
                </c:pt>
                <c:pt idx="39">
                  <c:v>2505.5634010154427</c:v>
                </c:pt>
                <c:pt idx="40">
                  <c:v>2502.2411759565894</c:v>
                </c:pt>
                <c:pt idx="41">
                  <c:v>2475.0656282086888</c:v>
                </c:pt>
                <c:pt idx="42">
                  <c:v>2503.7339210641594</c:v>
                </c:pt>
                <c:pt idx="43">
                  <c:v>2501.4664169617549</c:v>
                </c:pt>
                <c:pt idx="44">
                  <c:v>2567.6812655887625</c:v>
                </c:pt>
                <c:pt idx="45">
                  <c:v>2557.4139712232563</c:v>
                </c:pt>
                <c:pt idx="46">
                  <c:v>2521.6888915555187</c:v>
                </c:pt>
                <c:pt idx="47">
                  <c:v>2598.888432455034</c:v>
                </c:pt>
                <c:pt idx="48">
                  <c:v>2601.9757277730018</c:v>
                </c:pt>
                <c:pt idx="49">
                  <c:v>2552.5089804367608</c:v>
                </c:pt>
                <c:pt idx="50">
                  <c:v>2629.1948150041126</c:v>
                </c:pt>
                <c:pt idx="51">
                  <c:v>2570.8963595304372</c:v>
                </c:pt>
                <c:pt idx="52">
                  <c:v>2513.7014860538734</c:v>
                </c:pt>
                <c:pt idx="53">
                  <c:v>2507.3660816658667</c:v>
                </c:pt>
                <c:pt idx="54">
                  <c:v>2498.2652715145978</c:v>
                </c:pt>
                <c:pt idx="55">
                  <c:v>2503.8644146529923</c:v>
                </c:pt>
                <c:pt idx="56">
                  <c:v>2504.1140826137171</c:v>
                </c:pt>
                <c:pt idx="57">
                  <c:v>2512.2588661250124</c:v>
                </c:pt>
                <c:pt idx="58">
                  <c:v>2498.1631590562183</c:v>
                </c:pt>
                <c:pt idx="59">
                  <c:v>2532.2464102926269</c:v>
                </c:pt>
                <c:pt idx="60">
                  <c:v>2517.97265690841</c:v>
                </c:pt>
                <c:pt idx="61">
                  <c:v>2494.4821373011782</c:v>
                </c:pt>
                <c:pt idx="62">
                  <c:v>2479.8686638529603</c:v>
                </c:pt>
                <c:pt idx="63">
                  <c:v>2528.0064450260429</c:v>
                </c:pt>
                <c:pt idx="64">
                  <c:v>2521.6403464755094</c:v>
                </c:pt>
                <c:pt idx="65">
                  <c:v>2469.2851029766721</c:v>
                </c:pt>
                <c:pt idx="66">
                  <c:v>2446.0818844115702</c:v>
                </c:pt>
                <c:pt idx="67">
                  <c:v>2447.9589930668208</c:v>
                </c:pt>
                <c:pt idx="68">
                  <c:v>2462.093911424598</c:v>
                </c:pt>
                <c:pt idx="69">
                  <c:v>2444.6288149804445</c:v>
                </c:pt>
                <c:pt idx="70">
                  <c:v>2497.8313565690332</c:v>
                </c:pt>
                <c:pt idx="71">
                  <c:v>2501.9693669613098</c:v>
                </c:pt>
                <c:pt idx="72">
                  <c:v>2500.3711492676125</c:v>
                </c:pt>
                <c:pt idx="73">
                  <c:v>2480.9955440657723</c:v>
                </c:pt>
                <c:pt idx="74">
                  <c:v>2438.2746775093565</c:v>
                </c:pt>
                <c:pt idx="75">
                  <c:v>2404.3398916640131</c:v>
                </c:pt>
                <c:pt idx="76">
                  <c:v>2422.9832080934625</c:v>
                </c:pt>
                <c:pt idx="77">
                  <c:v>2373.8675828715536</c:v>
                </c:pt>
                <c:pt idx="78">
                  <c:v>2374.458663157006</c:v>
                </c:pt>
                <c:pt idx="79">
                  <c:v>2428.6165229753428</c:v>
                </c:pt>
                <c:pt idx="80">
                  <c:v>2374.0127984079518</c:v>
                </c:pt>
                <c:pt idx="81">
                  <c:v>2419.4382823951014</c:v>
                </c:pt>
                <c:pt idx="82">
                  <c:v>2418.9750651287713</c:v>
                </c:pt>
                <c:pt idx="83">
                  <c:v>2466.7961789449528</c:v>
                </c:pt>
                <c:pt idx="84">
                  <c:v>2451.7842538028463</c:v>
                </c:pt>
                <c:pt idx="85">
                  <c:v>2488.1633679452098</c:v>
                </c:pt>
                <c:pt idx="86">
                  <c:v>2419.7659214873238</c:v>
                </c:pt>
                <c:pt idx="87">
                  <c:v>2403.5702502219647</c:v>
                </c:pt>
                <c:pt idx="88">
                  <c:v>2405.0021650214353</c:v>
                </c:pt>
                <c:pt idx="89">
                  <c:v>2400.7339405123821</c:v>
                </c:pt>
                <c:pt idx="90">
                  <c:v>2424.4343552251826</c:v>
                </c:pt>
                <c:pt idx="91">
                  <c:v>2368.5877067039496</c:v>
                </c:pt>
                <c:pt idx="92">
                  <c:v>2389.6357791722335</c:v>
                </c:pt>
                <c:pt idx="93">
                  <c:v>2436.3590202396231</c:v>
                </c:pt>
                <c:pt idx="94">
                  <c:v>2395.9186229327161</c:v>
                </c:pt>
                <c:pt idx="95">
                  <c:v>2390.3535674528853</c:v>
                </c:pt>
                <c:pt idx="96">
                  <c:v>2467.5646384499146</c:v>
                </c:pt>
                <c:pt idx="97">
                  <c:v>2517.086424487562</c:v>
                </c:pt>
                <c:pt idx="98">
                  <c:v>2526.5287020546461</c:v>
                </c:pt>
                <c:pt idx="99">
                  <c:v>2545.3328173102968</c:v>
                </c:pt>
                <c:pt idx="100">
                  <c:v>2535.0078609485586</c:v>
                </c:pt>
                <c:pt idx="101">
                  <c:v>2519.9416847003677</c:v>
                </c:pt>
                <c:pt idx="102">
                  <c:v>2481.3529030011423</c:v>
                </c:pt>
                <c:pt idx="103">
                  <c:v>2497.732850548191</c:v>
                </c:pt>
                <c:pt idx="104">
                  <c:v>2506.2997261595142</c:v>
                </c:pt>
                <c:pt idx="105">
                  <c:v>2498.0169777871665</c:v>
                </c:pt>
                <c:pt idx="106">
                  <c:v>2497.5724664940121</c:v>
                </c:pt>
                <c:pt idx="107">
                  <c:v>2522.9314331259247</c:v>
                </c:pt>
                <c:pt idx="108">
                  <c:v>2497.2113492659114</c:v>
                </c:pt>
                <c:pt idx="109">
                  <c:v>2509.8862528035561</c:v>
                </c:pt>
                <c:pt idx="110">
                  <c:v>2533.9743089289209</c:v>
                </c:pt>
                <c:pt idx="111">
                  <c:v>2536.6082393213487</c:v>
                </c:pt>
                <c:pt idx="112">
                  <c:v>2542.4772021740264</c:v>
                </c:pt>
                <c:pt idx="113">
                  <c:v>2599.451044172647</c:v>
                </c:pt>
                <c:pt idx="114">
                  <c:v>2561.3344541389761</c:v>
                </c:pt>
                <c:pt idx="115">
                  <c:v>2551.6316950460982</c:v>
                </c:pt>
                <c:pt idx="116">
                  <c:v>2527.0735037283757</c:v>
                </c:pt>
                <c:pt idx="117">
                  <c:v>2561.1230346656903</c:v>
                </c:pt>
                <c:pt idx="118">
                  <c:v>2560.3909342924126</c:v>
                </c:pt>
                <c:pt idx="119">
                  <c:v>2528.2946259507244</c:v>
                </c:pt>
                <c:pt idx="120">
                  <c:v>2517.9897152451726</c:v>
                </c:pt>
                <c:pt idx="121">
                  <c:v>2553.6762573251544</c:v>
                </c:pt>
                <c:pt idx="122">
                  <c:v>2531.360369722544</c:v>
                </c:pt>
                <c:pt idx="123">
                  <c:v>2555.2940866892195</c:v>
                </c:pt>
                <c:pt idx="124">
                  <c:v>2541.5535017107322</c:v>
                </c:pt>
                <c:pt idx="125">
                  <c:v>2530.8370579217376</c:v>
                </c:pt>
                <c:pt idx="126">
                  <c:v>2494.5785616540079</c:v>
                </c:pt>
                <c:pt idx="127">
                  <c:v>2465.0888124871053</c:v>
                </c:pt>
                <c:pt idx="128">
                  <c:v>2419.7855845909726</c:v>
                </c:pt>
                <c:pt idx="129">
                  <c:v>2419.8639308335578</c:v>
                </c:pt>
                <c:pt idx="130">
                  <c:v>2447.2344876372122</c:v>
                </c:pt>
                <c:pt idx="131">
                  <c:v>2450.6963375293208</c:v>
                </c:pt>
                <c:pt idx="132">
                  <c:v>2434.3569230438075</c:v>
                </c:pt>
                <c:pt idx="133">
                  <c:v>2454.1959863372344</c:v>
                </c:pt>
                <c:pt idx="134">
                  <c:v>2425.1798366200187</c:v>
                </c:pt>
                <c:pt idx="135">
                  <c:v>2490.8146502460754</c:v>
                </c:pt>
                <c:pt idx="136">
                  <c:v>2476.3017099966451</c:v>
                </c:pt>
                <c:pt idx="137">
                  <c:v>2499.0716956413526</c:v>
                </c:pt>
                <c:pt idx="138">
                  <c:v>2525.9025386103667</c:v>
                </c:pt>
                <c:pt idx="139">
                  <c:v>2551.4403686581154</c:v>
                </c:pt>
                <c:pt idx="140">
                  <c:v>2495.3468185183729</c:v>
                </c:pt>
                <c:pt idx="141">
                  <c:v>2522.6704724901292</c:v>
                </c:pt>
                <c:pt idx="142">
                  <c:v>2520.8269975354351</c:v>
                </c:pt>
                <c:pt idx="143">
                  <c:v>2527.3465015821535</c:v>
                </c:pt>
                <c:pt idx="144">
                  <c:v>2532.4374730019749</c:v>
                </c:pt>
                <c:pt idx="145">
                  <c:v>2552.2841524608903</c:v>
                </c:pt>
                <c:pt idx="146">
                  <c:v>2567.0341019890134</c:v>
                </c:pt>
                <c:pt idx="147">
                  <c:v>2595.9514270157715</c:v>
                </c:pt>
                <c:pt idx="148">
                  <c:v>2582.583513232822</c:v>
                </c:pt>
                <c:pt idx="149">
                  <c:v>2597.8516330284724</c:v>
                </c:pt>
                <c:pt idx="150">
                  <c:v>2541.5522549655147</c:v>
                </c:pt>
                <c:pt idx="151">
                  <c:v>2486.2728839658266</c:v>
                </c:pt>
                <c:pt idx="152">
                  <c:v>2456.4038577100632</c:v>
                </c:pt>
                <c:pt idx="153">
                  <c:v>2498.3564175629572</c:v>
                </c:pt>
                <c:pt idx="154">
                  <c:v>2522.2867770717462</c:v>
                </c:pt>
                <c:pt idx="155">
                  <c:v>2530.5496166415401</c:v>
                </c:pt>
                <c:pt idx="156">
                  <c:v>2576.2629117972065</c:v>
                </c:pt>
                <c:pt idx="157">
                  <c:v>2575.4570278163483</c:v>
                </c:pt>
                <c:pt idx="158">
                  <c:v>2555.9972828025425</c:v>
                </c:pt>
                <c:pt idx="159">
                  <c:v>2610.3053642816653</c:v>
                </c:pt>
                <c:pt idx="160">
                  <c:v>2637.6561939620842</c:v>
                </c:pt>
                <c:pt idx="161">
                  <c:v>2658.9111887346571</c:v>
                </c:pt>
                <c:pt idx="162">
                  <c:v>2637.3625873429382</c:v>
                </c:pt>
                <c:pt idx="163">
                  <c:v>2567.6122021110932</c:v>
                </c:pt>
                <c:pt idx="164">
                  <c:v>2588.860810130458</c:v>
                </c:pt>
                <c:pt idx="165">
                  <c:v>2591.0224412826337</c:v>
                </c:pt>
                <c:pt idx="166">
                  <c:v>2554.9693818488372</c:v>
                </c:pt>
                <c:pt idx="167">
                  <c:v>2598.0363526249944</c:v>
                </c:pt>
                <c:pt idx="168">
                  <c:v>2573.8743529343569</c:v>
                </c:pt>
                <c:pt idx="169">
                  <c:v>2511.216587238287</c:v>
                </c:pt>
                <c:pt idx="170">
                  <c:v>2547.8708336468185</c:v>
                </c:pt>
                <c:pt idx="171">
                  <c:v>2532.5088489409945</c:v>
                </c:pt>
                <c:pt idx="172">
                  <c:v>2555.1533819602587</c:v>
                </c:pt>
                <c:pt idx="173">
                  <c:v>2536.8319334019061</c:v>
                </c:pt>
                <c:pt idx="174">
                  <c:v>2545.5999463561748</c:v>
                </c:pt>
                <c:pt idx="175">
                  <c:v>2614.6976494139954</c:v>
                </c:pt>
                <c:pt idx="176">
                  <c:v>2596.0578211785319</c:v>
                </c:pt>
                <c:pt idx="177">
                  <c:v>2565.4428539024502</c:v>
                </c:pt>
                <c:pt idx="178">
                  <c:v>2588.3953639554184</c:v>
                </c:pt>
                <c:pt idx="179">
                  <c:v>2581.6132428308815</c:v>
                </c:pt>
                <c:pt idx="180">
                  <c:v>2607.0437262628839</c:v>
                </c:pt>
                <c:pt idx="181">
                  <c:v>2621.9209884630159</c:v>
                </c:pt>
                <c:pt idx="182">
                  <c:v>2615.1578813571027</c:v>
                </c:pt>
                <c:pt idx="183">
                  <c:v>2638.0519951549004</c:v>
                </c:pt>
                <c:pt idx="184">
                  <c:v>2670.935539811745</c:v>
                </c:pt>
                <c:pt idx="185">
                  <c:v>2658.2768721715443</c:v>
                </c:pt>
                <c:pt idx="186">
                  <c:v>2640.1909047777467</c:v>
                </c:pt>
                <c:pt idx="187">
                  <c:v>2682.8463526631808</c:v>
                </c:pt>
                <c:pt idx="188">
                  <c:v>2721.3662695097942</c:v>
                </c:pt>
                <c:pt idx="189">
                  <c:v>2745.9415210268817</c:v>
                </c:pt>
                <c:pt idx="190">
                  <c:v>2804.7574286537201</c:v>
                </c:pt>
                <c:pt idx="191">
                  <c:v>2803.8993254887509</c:v>
                </c:pt>
                <c:pt idx="192">
                  <c:v>2784.1308376664138</c:v>
                </c:pt>
                <c:pt idx="193">
                  <c:v>2810.6769003258223</c:v>
                </c:pt>
                <c:pt idx="194">
                  <c:v>2807.2260569456394</c:v>
                </c:pt>
                <c:pt idx="195">
                  <c:v>2833.9756171695603</c:v>
                </c:pt>
                <c:pt idx="196">
                  <c:v>2866.0188884753097</c:v>
                </c:pt>
                <c:pt idx="197">
                  <c:v>2859.9174321036708</c:v>
                </c:pt>
                <c:pt idx="198">
                  <c:v>2872.5725374803492</c:v>
                </c:pt>
                <c:pt idx="199">
                  <c:v>2863.4247366151963</c:v>
                </c:pt>
                <c:pt idx="200">
                  <c:v>2790.9727075044821</c:v>
                </c:pt>
                <c:pt idx="201">
                  <c:v>2763.3997327514726</c:v>
                </c:pt>
                <c:pt idx="202">
                  <c:v>2702.2692365030166</c:v>
                </c:pt>
                <c:pt idx="203">
                  <c:v>2711.9055942712489</c:v>
                </c:pt>
                <c:pt idx="204">
                  <c:v>2709.1335520523189</c:v>
                </c:pt>
                <c:pt idx="205">
                  <c:v>2673.5108429007728</c:v>
                </c:pt>
                <c:pt idx="206">
                  <c:v>2606.9262906130684</c:v>
                </c:pt>
                <c:pt idx="207">
                  <c:v>2528.6786523078049</c:v>
                </c:pt>
                <c:pt idx="208">
                  <c:v>2515.3914551149724</c:v>
                </c:pt>
                <c:pt idx="209">
                  <c:v>2533.2892377462349</c:v>
                </c:pt>
                <c:pt idx="210">
                  <c:v>2507.8861307170441</c:v>
                </c:pt>
                <c:pt idx="211">
                  <c:v>2470.0073181373909</c:v>
                </c:pt>
                <c:pt idx="212">
                  <c:v>2467.8066952542108</c:v>
                </c:pt>
                <c:pt idx="213">
                  <c:v>2473.3427131568037</c:v>
                </c:pt>
                <c:pt idx="214">
                  <c:v>2445.4752281503593</c:v>
                </c:pt>
                <c:pt idx="215">
                  <c:v>2367.36551552829</c:v>
                </c:pt>
                <c:pt idx="216">
                  <c:v>2365.2620503545286</c:v>
                </c:pt>
                <c:pt idx="217">
                  <c:v>2373.1371339206016</c:v>
                </c:pt>
                <c:pt idx="218">
                  <c:v>2327.528122897374</c:v>
                </c:pt>
                <c:pt idx="219">
                  <c:v>2300.2403370788575</c:v>
                </c:pt>
                <c:pt idx="220">
                  <c:v>2334.880523508732</c:v>
                </c:pt>
                <c:pt idx="221">
                  <c:v>2345.1486772630078</c:v>
                </c:pt>
                <c:pt idx="222">
                  <c:v>2386.632909664238</c:v>
                </c:pt>
                <c:pt idx="223">
                  <c:v>2341.7197267096267</c:v>
                </c:pt>
                <c:pt idx="224">
                  <c:v>2379.8329520013449</c:v>
                </c:pt>
                <c:pt idx="225">
                  <c:v>2433.877621457767</c:v>
                </c:pt>
                <c:pt idx="226">
                  <c:v>2436.8387444903428</c:v>
                </c:pt>
                <c:pt idx="227">
                  <c:v>2450.0997361074205</c:v>
                </c:pt>
                <c:pt idx="228">
                  <c:v>2472.158955199071</c:v>
                </c:pt>
                <c:pt idx="229">
                  <c:v>2488.8812444051132</c:v>
                </c:pt>
                <c:pt idx="230">
                  <c:v>2517.3797648409941</c:v>
                </c:pt>
                <c:pt idx="231">
                  <c:v>2504.5287669247327</c:v>
                </c:pt>
                <c:pt idx="232">
                  <c:v>2532.37313796632</c:v>
                </c:pt>
                <c:pt idx="233">
                  <c:v>2474.8127261977797</c:v>
                </c:pt>
                <c:pt idx="234">
                  <c:v>2397.5714122285231</c:v>
                </c:pt>
                <c:pt idx="235">
                  <c:v>2407.8544473259822</c:v>
                </c:pt>
                <c:pt idx="236">
                  <c:v>2423.7345472621373</c:v>
                </c:pt>
                <c:pt idx="237">
                  <c:v>2425.9230408649232</c:v>
                </c:pt>
                <c:pt idx="238">
                  <c:v>2413.8179922871168</c:v>
                </c:pt>
                <c:pt idx="239">
                  <c:v>2427.6643240882836</c:v>
                </c:pt>
                <c:pt idx="240">
                  <c:v>2376.5855774808165</c:v>
                </c:pt>
                <c:pt idx="241">
                  <c:v>2355.0242313191879</c:v>
                </c:pt>
                <c:pt idx="242">
                  <c:v>2422.1936883363769</c:v>
                </c:pt>
                <c:pt idx="243">
                  <c:v>2416.176865782882</c:v>
                </c:pt>
                <c:pt idx="244">
                  <c:v>2408.8740341983662</c:v>
                </c:pt>
                <c:pt idx="245">
                  <c:v>2397.5847477043085</c:v>
                </c:pt>
                <c:pt idx="246">
                  <c:v>2373.0141868456008</c:v>
                </c:pt>
                <c:pt idx="247">
                  <c:v>2391.6574186819994</c:v>
                </c:pt>
                <c:pt idx="248">
                  <c:v>2363.881968791457</c:v>
                </c:pt>
                <c:pt idx="249">
                  <c:v>2393.1589016336625</c:v>
                </c:pt>
                <c:pt idx="250">
                  <c:v>2433.771034852185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3-4BA0-838E-91E95B8B2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975776"/>
        <c:axId val="1440977440"/>
      </c:lineChart>
      <c:catAx>
        <c:axId val="1440975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0977440"/>
        <c:crosses val="autoZero"/>
        <c:auto val="1"/>
        <c:lblAlgn val="ctr"/>
        <c:lblOffset val="100"/>
        <c:noMultiLvlLbl val="0"/>
      </c:catAx>
      <c:valAx>
        <c:axId val="1440977440"/>
        <c:scaling>
          <c:orientation val="minMax"/>
          <c:max val="3000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0975776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53340</xdr:rowOff>
    </xdr:from>
    <xdr:to>
      <xdr:col>4</xdr:col>
      <xdr:colOff>441960</xdr:colOff>
      <xdr:row>15</xdr:row>
      <xdr:rowOff>30480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2"/>
  <sheetViews>
    <sheetView workbookViewId="0">
      <selection activeCell="Q8" sqref="Q8"/>
    </sheetView>
  </sheetViews>
  <sheetFormatPr defaultRowHeight="17.399999999999999" x14ac:dyDescent="0.4"/>
  <cols>
    <col min="3" max="3" width="24.59765625" customWidth="1"/>
  </cols>
  <sheetData>
    <row r="1" spans="1:7" x14ac:dyDescent="0.4">
      <c r="E1" t="s">
        <v>4</v>
      </c>
      <c r="F1" t="s">
        <v>5</v>
      </c>
    </row>
    <row r="2" spans="1:7" x14ac:dyDescent="0.4">
      <c r="A2" t="s">
        <v>0</v>
      </c>
      <c r="B2" s="1">
        <v>0.1</v>
      </c>
      <c r="E2">
        <v>0</v>
      </c>
      <c r="G2">
        <v>2285</v>
      </c>
    </row>
    <row r="3" spans="1:7" x14ac:dyDescent="0.4">
      <c r="A3" t="s">
        <v>1</v>
      </c>
      <c r="B3" s="1">
        <v>0.2</v>
      </c>
      <c r="E3">
        <v>1</v>
      </c>
      <c r="F3">
        <f ca="1">NORMSINV(RAND())</f>
        <v>-0.43061829760958137</v>
      </c>
      <c r="G3">
        <f ca="1">G2*EXP(($B$2-0.5*$B$3^2)*$B$4+$B$3*SQRT($B$4)*F3)</f>
        <v>2273.314925474353</v>
      </c>
    </row>
    <row r="4" spans="1:7" x14ac:dyDescent="0.4">
      <c r="A4" t="s">
        <v>2</v>
      </c>
      <c r="B4">
        <f>1/250</f>
        <v>4.0000000000000001E-3</v>
      </c>
      <c r="C4" t="s">
        <v>3</v>
      </c>
      <c r="E4">
        <v>2</v>
      </c>
      <c r="F4">
        <f t="shared" ref="F4:F67" ca="1" si="0">NORMSINV(RAND())</f>
        <v>1.0957783105041226</v>
      </c>
      <c r="G4">
        <f t="shared" ref="G4:G67" ca="1" si="1">G3*EXP(($B$2-0.5*$B$3^2)*$B$4+$B$3*SQRT($B$4)*F4)</f>
        <v>2305.7815977748714</v>
      </c>
    </row>
    <row r="5" spans="1:7" x14ac:dyDescent="0.4">
      <c r="E5">
        <v>3</v>
      </c>
      <c r="F5">
        <f t="shared" ca="1" si="0"/>
        <v>0.32049098446956553</v>
      </c>
      <c r="G5">
        <f t="shared" ca="1" si="1"/>
        <v>2315.8890040849169</v>
      </c>
    </row>
    <row r="6" spans="1:7" x14ac:dyDescent="0.4">
      <c r="E6">
        <v>4</v>
      </c>
      <c r="F6">
        <f t="shared" ca="1" si="0"/>
        <v>-0.28080865859804088</v>
      </c>
      <c r="G6">
        <f t="shared" ca="1" si="1"/>
        <v>2308.4161801373298</v>
      </c>
    </row>
    <row r="7" spans="1:7" x14ac:dyDescent="0.4">
      <c r="E7">
        <v>5</v>
      </c>
      <c r="F7">
        <f t="shared" ca="1" si="0"/>
        <v>-0.22237792557654226</v>
      </c>
      <c r="G7">
        <f t="shared" ca="1" si="1"/>
        <v>2302.6687355501986</v>
      </c>
    </row>
    <row r="8" spans="1:7" x14ac:dyDescent="0.4">
      <c r="E8">
        <v>6</v>
      </c>
      <c r="F8">
        <f t="shared" ca="1" si="0"/>
        <v>-0.63078015578275803</v>
      </c>
      <c r="G8">
        <f t="shared" ca="1" si="1"/>
        <v>2285.1003999922518</v>
      </c>
    </row>
    <row r="9" spans="1:7" x14ac:dyDescent="0.4">
      <c r="E9">
        <v>7</v>
      </c>
      <c r="F9">
        <f t="shared" ca="1" si="0"/>
        <v>1.6580266259948937</v>
      </c>
      <c r="G9">
        <f t="shared" ca="1" si="1"/>
        <v>2334.2777403074415</v>
      </c>
    </row>
    <row r="10" spans="1:7" x14ac:dyDescent="0.4">
      <c r="E10">
        <v>8</v>
      </c>
      <c r="F10">
        <f t="shared" ca="1" si="0"/>
        <v>-2.1192819100033482</v>
      </c>
      <c r="G10">
        <f t="shared" ca="1" si="1"/>
        <v>2273.2612920870079</v>
      </c>
    </row>
    <row r="11" spans="1:7" x14ac:dyDescent="0.4">
      <c r="E11">
        <v>9</v>
      </c>
      <c r="F11">
        <f t="shared" ca="1" si="0"/>
        <v>-7.7979966406419299E-3</v>
      </c>
      <c r="G11">
        <f t="shared" ca="1" si="1"/>
        <v>2273.7645620849116</v>
      </c>
    </row>
    <row r="12" spans="1:7" x14ac:dyDescent="0.4">
      <c r="E12">
        <v>10</v>
      </c>
      <c r="F12">
        <f t="shared" ca="1" si="0"/>
        <v>-0.29571571045493633</v>
      </c>
      <c r="G12">
        <f t="shared" ca="1" si="1"/>
        <v>2266.00034424963</v>
      </c>
    </row>
    <row r="13" spans="1:7" x14ac:dyDescent="0.4">
      <c r="E13">
        <v>11</v>
      </c>
      <c r="F13">
        <f t="shared" ca="1" si="0"/>
        <v>0.46795551776354799</v>
      </c>
      <c r="G13">
        <f t="shared" ca="1" si="1"/>
        <v>2280.1826186191256</v>
      </c>
    </row>
    <row r="14" spans="1:7" x14ac:dyDescent="0.4">
      <c r="E14">
        <v>12</v>
      </c>
      <c r="F14">
        <f t="shared" ca="1" si="0"/>
        <v>0.10427403705563446</v>
      </c>
      <c r="G14">
        <f t="shared" ca="1" si="1"/>
        <v>2283.9228424897274</v>
      </c>
    </row>
    <row r="15" spans="1:7" x14ac:dyDescent="0.4">
      <c r="E15">
        <v>13</v>
      </c>
      <c r="F15">
        <f t="shared" ca="1" si="0"/>
        <v>0.46744743897951785</v>
      </c>
      <c r="G15">
        <f t="shared" ca="1" si="1"/>
        <v>2298.2025188493753</v>
      </c>
    </row>
    <row r="16" spans="1:7" x14ac:dyDescent="0.4">
      <c r="E16">
        <v>14</v>
      </c>
      <c r="F16">
        <f t="shared" ca="1" si="0"/>
        <v>0.10681128406945056</v>
      </c>
      <c r="G16">
        <f t="shared" ca="1" si="1"/>
        <v>2302.0461815772587</v>
      </c>
    </row>
    <row r="17" spans="5:7" x14ac:dyDescent="0.4">
      <c r="E17">
        <v>15</v>
      </c>
      <c r="F17">
        <f t="shared" ca="1" si="0"/>
        <v>-0.4499747080513144</v>
      </c>
      <c r="G17">
        <f t="shared" ca="1" si="1"/>
        <v>2289.7132507959041</v>
      </c>
    </row>
    <row r="18" spans="5:7" x14ac:dyDescent="0.4">
      <c r="E18">
        <v>16</v>
      </c>
      <c r="F18">
        <f t="shared" ca="1" si="0"/>
        <v>0.63447743698526726</v>
      </c>
      <c r="G18">
        <f t="shared" ca="1" si="1"/>
        <v>2308.9021851192488</v>
      </c>
    </row>
    <row r="19" spans="5:7" x14ac:dyDescent="0.4">
      <c r="E19">
        <v>17</v>
      </c>
      <c r="F19">
        <f t="shared" ca="1" si="0"/>
        <v>1.3906922861211117</v>
      </c>
      <c r="G19">
        <f t="shared" ca="1" si="1"/>
        <v>2350.629554067481</v>
      </c>
    </row>
    <row r="20" spans="5:7" x14ac:dyDescent="0.4">
      <c r="E20">
        <v>18</v>
      </c>
      <c r="F20">
        <f t="shared" ca="1" si="0"/>
        <v>-0.44365723278137942</v>
      </c>
      <c r="G20">
        <f t="shared" ca="1" si="1"/>
        <v>2338.2231847984854</v>
      </c>
    </row>
    <row r="21" spans="5:7" x14ac:dyDescent="0.4">
      <c r="E21">
        <v>19</v>
      </c>
      <c r="F21">
        <f t="shared" ca="1" si="0"/>
        <v>-0.48881542974653464</v>
      </c>
      <c r="G21">
        <f t="shared" ca="1" si="1"/>
        <v>2324.5541047622282</v>
      </c>
    </row>
    <row r="22" spans="5:7" x14ac:dyDescent="0.4">
      <c r="E22">
        <v>20</v>
      </c>
      <c r="F22">
        <f t="shared" ca="1" si="0"/>
        <v>1.0346874737869562</v>
      </c>
      <c r="G22">
        <f t="shared" ca="1" si="1"/>
        <v>2355.9313195812065</v>
      </c>
    </row>
    <row r="23" spans="5:7" x14ac:dyDescent="0.4">
      <c r="E23">
        <v>21</v>
      </c>
      <c r="F23">
        <f t="shared" ca="1" si="0"/>
        <v>-5.6273117026544639E-2</v>
      </c>
      <c r="G23">
        <f t="shared" ca="1" si="1"/>
        <v>2355.0084349924737</v>
      </c>
    </row>
    <row r="24" spans="5:7" x14ac:dyDescent="0.4">
      <c r="E24">
        <v>22</v>
      </c>
      <c r="F24">
        <f t="shared" ca="1" si="0"/>
        <v>0.82555336602201046</v>
      </c>
      <c r="G24">
        <f t="shared" ca="1" si="1"/>
        <v>2380.4911336393102</v>
      </c>
    </row>
    <row r="25" spans="5:7" x14ac:dyDescent="0.4">
      <c r="E25">
        <v>23</v>
      </c>
      <c r="F25">
        <f t="shared" ca="1" si="0"/>
        <v>0.32802753751548691</v>
      </c>
      <c r="G25">
        <f t="shared" ca="1" si="1"/>
        <v>2391.1539691112775</v>
      </c>
    </row>
    <row r="26" spans="5:7" x14ac:dyDescent="0.4">
      <c r="E26">
        <v>24</v>
      </c>
      <c r="F26">
        <f t="shared" ca="1" si="0"/>
        <v>-0.50966916986875432</v>
      </c>
      <c r="G26">
        <f t="shared" ca="1" si="1"/>
        <v>2376.5484879623127</v>
      </c>
    </row>
    <row r="27" spans="5:7" x14ac:dyDescent="0.4">
      <c r="E27">
        <v>25</v>
      </c>
      <c r="F27">
        <f t="shared" ca="1" si="0"/>
        <v>-0.33082036200155007</v>
      </c>
      <c r="G27">
        <f t="shared" ca="1" si="1"/>
        <v>2367.3818422606619</v>
      </c>
    </row>
    <row r="28" spans="5:7" x14ac:dyDescent="0.4">
      <c r="E28">
        <v>26</v>
      </c>
      <c r="F28">
        <f t="shared" ca="1" si="0"/>
        <v>2.308703332836413</v>
      </c>
      <c r="G28">
        <f t="shared" ca="1" si="1"/>
        <v>2438.3161058137175</v>
      </c>
    </row>
    <row r="29" spans="5:7" x14ac:dyDescent="0.4">
      <c r="E29">
        <v>27</v>
      </c>
      <c r="F29">
        <f t="shared" ca="1" si="0"/>
        <v>-1.0822259042996025</v>
      </c>
      <c r="G29">
        <f t="shared" ca="1" si="1"/>
        <v>2405.934720667959</v>
      </c>
    </row>
    <row r="30" spans="5:7" x14ac:dyDescent="0.4">
      <c r="E30">
        <v>28</v>
      </c>
      <c r="F30">
        <f t="shared" ca="1" si="0"/>
        <v>-1.3679287903148418</v>
      </c>
      <c r="G30">
        <f t="shared" ca="1" si="1"/>
        <v>2365.4195426378274</v>
      </c>
    </row>
    <row r="31" spans="5:7" x14ac:dyDescent="0.4">
      <c r="E31">
        <v>29</v>
      </c>
      <c r="F31">
        <f t="shared" ca="1" si="0"/>
        <v>0.54345928270391941</v>
      </c>
      <c r="G31">
        <f t="shared" ca="1" si="1"/>
        <v>2382.4983863919165</v>
      </c>
    </row>
    <row r="32" spans="5:7" x14ac:dyDescent="0.4">
      <c r="E32">
        <v>30</v>
      </c>
      <c r="F32">
        <f t="shared" ca="1" si="0"/>
        <v>-7.6625756065316658E-2</v>
      </c>
      <c r="G32">
        <f t="shared" ca="1" si="1"/>
        <v>2380.9520569040842</v>
      </c>
    </row>
    <row r="33" spans="5:7" x14ac:dyDescent="0.4">
      <c r="E33">
        <v>31</v>
      </c>
      <c r="F33">
        <f t="shared" ca="1" si="0"/>
        <v>0.45493701067810549</v>
      </c>
      <c r="G33">
        <f t="shared" ca="1" si="1"/>
        <v>2395.4592836636102</v>
      </c>
    </row>
    <row r="34" spans="5:7" x14ac:dyDescent="0.4">
      <c r="E34">
        <v>32</v>
      </c>
      <c r="F34">
        <f t="shared" ca="1" si="0"/>
        <v>0.98086043852165716</v>
      </c>
      <c r="G34">
        <f t="shared" ca="1" si="1"/>
        <v>2426.1411533352243</v>
      </c>
    </row>
    <row r="35" spans="5:7" x14ac:dyDescent="0.4">
      <c r="E35">
        <v>33</v>
      </c>
      <c r="F35">
        <f t="shared" ca="1" si="0"/>
        <v>0.6550850481345224</v>
      </c>
      <c r="G35">
        <f t="shared" ca="1" si="1"/>
        <v>2447.1112215878325</v>
      </c>
    </row>
    <row r="36" spans="5:7" x14ac:dyDescent="0.4">
      <c r="E36">
        <v>34</v>
      </c>
      <c r="F36">
        <f t="shared" ca="1" si="0"/>
        <v>-0.53383411993003671</v>
      </c>
      <c r="G36">
        <f t="shared" ca="1" si="1"/>
        <v>2431.4206321298698</v>
      </c>
    </row>
    <row r="37" spans="5:7" x14ac:dyDescent="0.4">
      <c r="E37">
        <v>35</v>
      </c>
      <c r="F37">
        <f t="shared" ca="1" si="0"/>
        <v>-0.50169137135334196</v>
      </c>
      <c r="G37">
        <f t="shared" ca="1" si="1"/>
        <v>2416.8130702082904</v>
      </c>
    </row>
    <row r="38" spans="5:7" x14ac:dyDescent="0.4">
      <c r="E38">
        <v>36</v>
      </c>
      <c r="F38">
        <f t="shared" ca="1" si="0"/>
        <v>1.6533061110567955</v>
      </c>
      <c r="G38">
        <f t="shared" ca="1" si="1"/>
        <v>2468.6775713782808</v>
      </c>
    </row>
    <row r="39" spans="5:7" x14ac:dyDescent="0.4">
      <c r="E39">
        <v>37</v>
      </c>
      <c r="F39">
        <f t="shared" ca="1" si="0"/>
        <v>1.396814790956149</v>
      </c>
      <c r="G39">
        <f t="shared" ca="1" si="1"/>
        <v>2513.487110166312</v>
      </c>
    </row>
    <row r="40" spans="5:7" x14ac:dyDescent="0.4">
      <c r="E40">
        <v>38</v>
      </c>
      <c r="F40">
        <f t="shared" ca="1" si="0"/>
        <v>-0.80492269608744615</v>
      </c>
      <c r="G40">
        <f t="shared" ca="1" si="1"/>
        <v>2488.8220335810151</v>
      </c>
    </row>
    <row r="41" spans="5:7" x14ac:dyDescent="0.4">
      <c r="E41">
        <v>39</v>
      </c>
      <c r="F41">
        <f t="shared" ca="1" si="0"/>
        <v>0.50470743423990161</v>
      </c>
      <c r="G41">
        <f t="shared" ca="1" si="1"/>
        <v>2505.5634010154427</v>
      </c>
    </row>
    <row r="42" spans="5:7" x14ac:dyDescent="0.4">
      <c r="E42">
        <v>40</v>
      </c>
      <c r="F42">
        <f t="shared" ca="1" si="0"/>
        <v>-0.13019248647709444</v>
      </c>
      <c r="G42">
        <f t="shared" ca="1" si="1"/>
        <v>2502.2411759565894</v>
      </c>
    </row>
    <row r="43" spans="5:7" x14ac:dyDescent="0.4">
      <c r="E43">
        <v>41</v>
      </c>
      <c r="F43">
        <f t="shared" ca="1" si="0"/>
        <v>-0.88859121162338151</v>
      </c>
      <c r="G43">
        <f t="shared" ca="1" si="1"/>
        <v>2475.0656282086888</v>
      </c>
    </row>
    <row r="44" spans="5:7" x14ac:dyDescent="0.4">
      <c r="E44">
        <v>42</v>
      </c>
      <c r="F44">
        <f t="shared" ca="1" si="0"/>
        <v>0.88514317226305328</v>
      </c>
      <c r="G44">
        <f t="shared" ca="1" si="1"/>
        <v>2503.7339210641594</v>
      </c>
    </row>
    <row r="45" spans="5:7" x14ac:dyDescent="0.4">
      <c r="E45">
        <v>43</v>
      </c>
      <c r="F45">
        <f t="shared" ca="1" si="0"/>
        <v>-9.6928501526512487E-2</v>
      </c>
      <c r="G45">
        <f t="shared" ca="1" si="1"/>
        <v>2501.4664169617549</v>
      </c>
    </row>
    <row r="46" spans="5:7" x14ac:dyDescent="0.4">
      <c r="E46">
        <v>44</v>
      </c>
      <c r="F46">
        <f t="shared" ca="1" si="0"/>
        <v>2.0401539997839748</v>
      </c>
      <c r="G46">
        <f t="shared" ca="1" si="1"/>
        <v>2567.6812655887625</v>
      </c>
    </row>
    <row r="47" spans="5:7" x14ac:dyDescent="0.4">
      <c r="E47">
        <v>45</v>
      </c>
      <c r="F47">
        <f t="shared" ca="1" si="0"/>
        <v>-0.3420540817833837</v>
      </c>
      <c r="G47">
        <f t="shared" ca="1" si="1"/>
        <v>2557.4139712232563</v>
      </c>
    </row>
    <row r="48" spans="5:7" x14ac:dyDescent="0.4">
      <c r="E48">
        <v>46</v>
      </c>
      <c r="F48">
        <f t="shared" ca="1" si="0"/>
        <v>-1.1374482160524224</v>
      </c>
      <c r="G48">
        <f t="shared" ca="1" si="1"/>
        <v>2521.6888915555187</v>
      </c>
    </row>
    <row r="49" spans="5:7" x14ac:dyDescent="0.4">
      <c r="E49">
        <v>47</v>
      </c>
      <c r="F49">
        <f t="shared" ca="1" si="0"/>
        <v>2.3586603340122814</v>
      </c>
      <c r="G49">
        <f t="shared" ca="1" si="1"/>
        <v>2598.888432455034</v>
      </c>
    </row>
    <row r="50" spans="5:7" x14ac:dyDescent="0.4">
      <c r="E50">
        <v>48</v>
      </c>
      <c r="F50">
        <f t="shared" ca="1" si="0"/>
        <v>6.8560086302837581E-2</v>
      </c>
      <c r="G50">
        <f t="shared" ca="1" si="1"/>
        <v>2601.9757277730018</v>
      </c>
    </row>
    <row r="51" spans="5:7" x14ac:dyDescent="0.4">
      <c r="E51">
        <v>49</v>
      </c>
      <c r="F51">
        <f t="shared" ca="1" si="0"/>
        <v>-1.5427379017976304</v>
      </c>
      <c r="G51">
        <f t="shared" ca="1" si="1"/>
        <v>2552.5089804367608</v>
      </c>
    </row>
    <row r="52" spans="5:7" x14ac:dyDescent="0.4">
      <c r="E52">
        <v>50</v>
      </c>
      <c r="F52">
        <f t="shared" ca="1" si="0"/>
        <v>2.314854918644762</v>
      </c>
      <c r="G52">
        <f t="shared" ca="1" si="1"/>
        <v>2629.1948150041126</v>
      </c>
    </row>
    <row r="53" spans="5:7" x14ac:dyDescent="0.4">
      <c r="E53">
        <v>51</v>
      </c>
      <c r="F53">
        <f t="shared" ca="1" si="0"/>
        <v>-1.7979943289761118</v>
      </c>
      <c r="G53">
        <f t="shared" ca="1" si="1"/>
        <v>2570.8963595304372</v>
      </c>
    </row>
    <row r="54" spans="5:7" x14ac:dyDescent="0.4">
      <c r="E54">
        <v>52</v>
      </c>
      <c r="F54">
        <f t="shared" ca="1" si="0"/>
        <v>-1.8039413431434879</v>
      </c>
      <c r="G54">
        <f t="shared" ca="1" si="1"/>
        <v>2513.7014860538734</v>
      </c>
    </row>
    <row r="55" spans="5:7" x14ac:dyDescent="0.4">
      <c r="E55">
        <v>53</v>
      </c>
      <c r="F55">
        <f t="shared" ca="1" si="0"/>
        <v>-0.22480079843251796</v>
      </c>
      <c r="G55">
        <f t="shared" ca="1" si="1"/>
        <v>2507.3660816658667</v>
      </c>
    </row>
    <row r="56" spans="5:7" x14ac:dyDescent="0.4">
      <c r="E56">
        <v>54</v>
      </c>
      <c r="F56">
        <f t="shared" ca="1" si="0"/>
        <v>-0.3127676563100551</v>
      </c>
      <c r="G56">
        <f t="shared" ca="1" si="1"/>
        <v>2498.2652715145978</v>
      </c>
    </row>
    <row r="57" spans="5:7" x14ac:dyDescent="0.4">
      <c r="E57">
        <v>55</v>
      </c>
      <c r="F57">
        <f t="shared" ca="1" si="0"/>
        <v>0.15168692073246995</v>
      </c>
      <c r="G57">
        <f t="shared" ca="1" si="1"/>
        <v>2503.8644146529923</v>
      </c>
    </row>
    <row r="58" spans="5:7" x14ac:dyDescent="0.4">
      <c r="E58">
        <v>56</v>
      </c>
      <c r="F58">
        <f t="shared" ca="1" si="0"/>
        <v>-1.7415605414030273E-2</v>
      </c>
      <c r="G58">
        <f t="shared" ca="1" si="1"/>
        <v>2504.1140826137171</v>
      </c>
    </row>
    <row r="59" spans="5:7" x14ac:dyDescent="0.4">
      <c r="E59">
        <v>57</v>
      </c>
      <c r="F59">
        <f t="shared" ca="1" si="0"/>
        <v>0.2314220210200198</v>
      </c>
      <c r="G59">
        <f t="shared" ca="1" si="1"/>
        <v>2512.2588661250124</v>
      </c>
    </row>
    <row r="60" spans="5:7" x14ac:dyDescent="0.4">
      <c r="E60">
        <v>58</v>
      </c>
      <c r="F60">
        <f t="shared" ca="1" si="0"/>
        <v>-0.47011760914895312</v>
      </c>
      <c r="G60">
        <f t="shared" ca="1" si="1"/>
        <v>2498.1631590562183</v>
      </c>
    </row>
    <row r="61" spans="5:7" x14ac:dyDescent="0.4">
      <c r="E61">
        <v>59</v>
      </c>
      <c r="F61">
        <f t="shared" ca="1" si="0"/>
        <v>1.0460097091469811</v>
      </c>
      <c r="G61">
        <f t="shared" ca="1" si="1"/>
        <v>2532.2464102926269</v>
      </c>
    </row>
    <row r="62" spans="5:7" x14ac:dyDescent="0.4">
      <c r="E62">
        <v>60</v>
      </c>
      <c r="F62">
        <f t="shared" ca="1" si="0"/>
        <v>-0.47218667349369087</v>
      </c>
      <c r="G62">
        <f t="shared" ca="1" si="1"/>
        <v>2517.97265690841</v>
      </c>
    </row>
    <row r="63" spans="5:7" x14ac:dyDescent="0.4">
      <c r="E63">
        <v>61</v>
      </c>
      <c r="F63">
        <f t="shared" ca="1" si="0"/>
        <v>-0.76629332505070802</v>
      </c>
      <c r="G63">
        <f t="shared" ca="1" si="1"/>
        <v>2494.4821373011782</v>
      </c>
    </row>
    <row r="64" spans="5:7" x14ac:dyDescent="0.4">
      <c r="E64">
        <v>62</v>
      </c>
      <c r="F64">
        <f t="shared" ca="1" si="0"/>
        <v>-0.48980098168155389</v>
      </c>
      <c r="G64">
        <f t="shared" ca="1" si="1"/>
        <v>2479.8686638529603</v>
      </c>
    </row>
    <row r="65" spans="5:7" x14ac:dyDescent="0.4">
      <c r="E65">
        <v>63</v>
      </c>
      <c r="F65">
        <f t="shared" ca="1" si="0"/>
        <v>1.4946050852240189</v>
      </c>
      <c r="G65">
        <f t="shared" ca="1" si="1"/>
        <v>2528.0064450260429</v>
      </c>
    </row>
    <row r="66" spans="5:7" x14ac:dyDescent="0.4">
      <c r="E66">
        <v>64</v>
      </c>
      <c r="F66">
        <f t="shared" ca="1" si="0"/>
        <v>-0.22463277600768075</v>
      </c>
      <c r="G66">
        <f t="shared" ca="1" si="1"/>
        <v>2521.6403464755094</v>
      </c>
    </row>
    <row r="67" spans="5:7" x14ac:dyDescent="0.4">
      <c r="E67">
        <v>65</v>
      </c>
      <c r="F67">
        <f t="shared" ca="1" si="0"/>
        <v>-1.6839874954541352</v>
      </c>
      <c r="G67">
        <f t="shared" ca="1" si="1"/>
        <v>2469.2851029766721</v>
      </c>
    </row>
    <row r="68" spans="5:7" x14ac:dyDescent="0.4">
      <c r="E68">
        <v>66</v>
      </c>
      <c r="F68">
        <f t="shared" ref="F68:F131" ca="1" si="2">NORMSINV(RAND())</f>
        <v>-0.77168770681570864</v>
      </c>
      <c r="G68">
        <f t="shared" ref="G68:G131" ca="1" si="3">G67*EXP(($B$2-0.5*$B$3^2)*$B$4+$B$3*SQRT($B$4)*F68)</f>
        <v>2446.0818844115702</v>
      </c>
    </row>
    <row r="69" spans="5:7" x14ac:dyDescent="0.4">
      <c r="E69">
        <v>67</v>
      </c>
      <c r="F69">
        <f t="shared" ca="1" si="2"/>
        <v>3.5346338152192423E-2</v>
      </c>
      <c r="G69">
        <f t="shared" ca="1" si="3"/>
        <v>2447.9589930668208</v>
      </c>
    </row>
    <row r="70" spans="5:7" x14ac:dyDescent="0.4">
      <c r="E70">
        <v>68</v>
      </c>
      <c r="F70">
        <f t="shared" ca="1" si="2"/>
        <v>0.42987671163944197</v>
      </c>
      <c r="G70">
        <f t="shared" ca="1" si="3"/>
        <v>2462.093911424598</v>
      </c>
    </row>
    <row r="71" spans="5:7" x14ac:dyDescent="0.4">
      <c r="E71">
        <v>69</v>
      </c>
      <c r="F71">
        <f t="shared" ca="1" si="2"/>
        <v>-0.58809461963522003</v>
      </c>
      <c r="G71">
        <f t="shared" ca="1" si="3"/>
        <v>2444.6288149804445</v>
      </c>
    </row>
    <row r="72" spans="5:7" x14ac:dyDescent="0.4">
      <c r="E72">
        <v>70</v>
      </c>
      <c r="F72">
        <f t="shared" ca="1" si="2"/>
        <v>1.6767661503955906</v>
      </c>
      <c r="G72">
        <f t="shared" ca="1" si="3"/>
        <v>2497.8313565690332</v>
      </c>
    </row>
    <row r="73" spans="5:7" x14ac:dyDescent="0.4">
      <c r="E73">
        <v>71</v>
      </c>
      <c r="F73">
        <f t="shared" ca="1" si="2"/>
        <v>0.10556240229545463</v>
      </c>
      <c r="G73">
        <f t="shared" ca="1" si="3"/>
        <v>2501.9693669613098</v>
      </c>
    </row>
    <row r="74" spans="5:7" x14ac:dyDescent="0.4">
      <c r="E74">
        <v>72</v>
      </c>
      <c r="F74">
        <f t="shared" ca="1" si="2"/>
        <v>-7.5814657182037865E-2</v>
      </c>
      <c r="G74">
        <f t="shared" ca="1" si="3"/>
        <v>2500.3711492676125</v>
      </c>
    </row>
    <row r="75" spans="5:7" x14ac:dyDescent="0.4">
      <c r="E75">
        <v>73</v>
      </c>
      <c r="F75">
        <f t="shared" ca="1" si="2"/>
        <v>-0.64030366305147601</v>
      </c>
      <c r="G75">
        <f t="shared" ca="1" si="3"/>
        <v>2480.9955440657723</v>
      </c>
    </row>
    <row r="76" spans="5:7" x14ac:dyDescent="0.4">
      <c r="E76">
        <v>74</v>
      </c>
      <c r="F76">
        <f t="shared" ca="1" si="2"/>
        <v>-1.3984555417421827</v>
      </c>
      <c r="G76">
        <f t="shared" ca="1" si="3"/>
        <v>2438.2746775093565</v>
      </c>
    </row>
    <row r="77" spans="5:7" x14ac:dyDescent="0.4">
      <c r="E77">
        <v>75</v>
      </c>
      <c r="F77">
        <f t="shared" ca="1" si="2"/>
        <v>-1.133304756025624</v>
      </c>
      <c r="G77">
        <f t="shared" ca="1" si="3"/>
        <v>2404.3398916640131</v>
      </c>
    </row>
    <row r="78" spans="5:7" x14ac:dyDescent="0.4">
      <c r="E78">
        <v>76</v>
      </c>
      <c r="F78">
        <f t="shared" ca="1" si="2"/>
        <v>0.58534700541978246</v>
      </c>
      <c r="G78">
        <f t="shared" ca="1" si="3"/>
        <v>2422.9832080934625</v>
      </c>
    </row>
    <row r="79" spans="5:7" x14ac:dyDescent="0.4">
      <c r="E79">
        <v>77</v>
      </c>
      <c r="F79">
        <f t="shared" ca="1" si="2"/>
        <v>-1.644304933533572</v>
      </c>
      <c r="G79">
        <f t="shared" ca="1" si="3"/>
        <v>2373.8675828715536</v>
      </c>
    </row>
    <row r="80" spans="5:7" x14ac:dyDescent="0.4">
      <c r="E80">
        <v>78</v>
      </c>
      <c r="F80">
        <f t="shared" ca="1" si="2"/>
        <v>-5.6159175088272388E-3</v>
      </c>
      <c r="G80">
        <f t="shared" ca="1" si="3"/>
        <v>2374.458663157006</v>
      </c>
    </row>
    <row r="81" spans="5:7" x14ac:dyDescent="0.4">
      <c r="E81">
        <v>79</v>
      </c>
      <c r="F81">
        <f t="shared" ca="1" si="2"/>
        <v>1.7576162894003327</v>
      </c>
      <c r="G81">
        <f t="shared" ca="1" si="3"/>
        <v>2428.6165229753428</v>
      </c>
    </row>
    <row r="82" spans="5:7" x14ac:dyDescent="0.4">
      <c r="E82">
        <v>80</v>
      </c>
      <c r="F82">
        <f t="shared" ca="1" si="2"/>
        <v>-1.8230590688416086</v>
      </c>
      <c r="G82">
        <f t="shared" ca="1" si="3"/>
        <v>2374.0127984079518</v>
      </c>
    </row>
    <row r="83" spans="5:7" x14ac:dyDescent="0.4">
      <c r="E83">
        <v>81</v>
      </c>
      <c r="F83">
        <f t="shared" ca="1" si="2"/>
        <v>1.4731242216272782</v>
      </c>
      <c r="G83">
        <f t="shared" ca="1" si="3"/>
        <v>2419.4382823951014</v>
      </c>
    </row>
    <row r="84" spans="5:7" x14ac:dyDescent="0.4">
      <c r="E84">
        <v>82</v>
      </c>
      <c r="F84">
        <f t="shared" ca="1" si="2"/>
        <v>-4.0435638368133714E-2</v>
      </c>
      <c r="G84">
        <f t="shared" ca="1" si="3"/>
        <v>2418.9750651287713</v>
      </c>
    </row>
    <row r="85" spans="5:7" x14ac:dyDescent="0.4">
      <c r="E85">
        <v>83</v>
      </c>
      <c r="F85">
        <f t="shared" ca="1" si="2"/>
        <v>1.5223435100605276</v>
      </c>
      <c r="G85">
        <f t="shared" ca="1" si="3"/>
        <v>2466.7961789449528</v>
      </c>
    </row>
    <row r="86" spans="5:7" x14ac:dyDescent="0.4">
      <c r="E86">
        <v>84</v>
      </c>
      <c r="F86">
        <f t="shared" ca="1" si="2"/>
        <v>-0.50787671691243574</v>
      </c>
      <c r="G86">
        <f t="shared" ca="1" si="3"/>
        <v>2451.7842538028463</v>
      </c>
    </row>
    <row r="87" spans="5:7" x14ac:dyDescent="0.4">
      <c r="E87">
        <v>85</v>
      </c>
      <c r="F87">
        <f t="shared" ca="1" si="2"/>
        <v>1.1391163482284559</v>
      </c>
      <c r="G87">
        <f t="shared" ca="1" si="3"/>
        <v>2488.1633679452098</v>
      </c>
    </row>
    <row r="88" spans="5:7" x14ac:dyDescent="0.4">
      <c r="E88">
        <v>86</v>
      </c>
      <c r="F88">
        <f t="shared" ca="1" si="2"/>
        <v>-2.2289334837388592</v>
      </c>
      <c r="G88">
        <f t="shared" ca="1" si="3"/>
        <v>2419.7659214873238</v>
      </c>
    </row>
    <row r="89" spans="5:7" x14ac:dyDescent="0.4">
      <c r="E89">
        <v>87</v>
      </c>
      <c r="F89">
        <f t="shared" ca="1" si="2"/>
        <v>-0.55621085197593723</v>
      </c>
      <c r="G89">
        <f t="shared" ca="1" si="3"/>
        <v>2403.5702502219647</v>
      </c>
    </row>
    <row r="90" spans="5:7" x14ac:dyDescent="0.4">
      <c r="E90">
        <v>88</v>
      </c>
      <c r="F90">
        <f t="shared" ca="1" si="2"/>
        <v>2.1785527536903104E-2</v>
      </c>
      <c r="G90">
        <f t="shared" ca="1" si="3"/>
        <v>2405.0021650214353</v>
      </c>
    </row>
    <row r="91" spans="5:7" x14ac:dyDescent="0.4">
      <c r="E91">
        <v>89</v>
      </c>
      <c r="F91">
        <f t="shared" ca="1" si="2"/>
        <v>-0.16572743197997597</v>
      </c>
      <c r="G91">
        <f t="shared" ca="1" si="3"/>
        <v>2400.7339405123821</v>
      </c>
    </row>
    <row r="92" spans="5:7" x14ac:dyDescent="0.4">
      <c r="E92">
        <v>90</v>
      </c>
      <c r="F92">
        <f t="shared" ca="1" si="2"/>
        <v>0.7513368111831229</v>
      </c>
      <c r="G92">
        <f t="shared" ca="1" si="3"/>
        <v>2424.4343552251826</v>
      </c>
    </row>
    <row r="93" spans="5:7" x14ac:dyDescent="0.4">
      <c r="E93">
        <v>91</v>
      </c>
      <c r="F93">
        <f t="shared" ca="1" si="2"/>
        <v>-1.8676703124700738</v>
      </c>
      <c r="G93">
        <f t="shared" ca="1" si="3"/>
        <v>2368.5877067039496</v>
      </c>
    </row>
    <row r="94" spans="5:7" x14ac:dyDescent="0.4">
      <c r="E94">
        <v>92</v>
      </c>
      <c r="F94">
        <f t="shared" ca="1" si="2"/>
        <v>0.67412545748227437</v>
      </c>
      <c r="G94">
        <f t="shared" ca="1" si="3"/>
        <v>2389.6357791722335</v>
      </c>
    </row>
    <row r="95" spans="5:7" x14ac:dyDescent="0.4">
      <c r="E95">
        <v>93</v>
      </c>
      <c r="F95">
        <f t="shared" ca="1" si="2"/>
        <v>1.5055413697704125</v>
      </c>
      <c r="G95">
        <f t="shared" ca="1" si="3"/>
        <v>2436.3590202396231</v>
      </c>
    </row>
    <row r="96" spans="5:7" x14ac:dyDescent="0.4">
      <c r="E96">
        <v>94</v>
      </c>
      <c r="F96">
        <f t="shared" ca="1" si="2"/>
        <v>-1.3485536307327384</v>
      </c>
      <c r="G96">
        <f t="shared" ca="1" si="3"/>
        <v>2395.9186229327161</v>
      </c>
    </row>
    <row r="97" spans="5:7" x14ac:dyDescent="0.4">
      <c r="E97">
        <v>95</v>
      </c>
      <c r="F97">
        <f t="shared" ca="1" si="2"/>
        <v>-0.20913919241515927</v>
      </c>
      <c r="G97">
        <f t="shared" ca="1" si="3"/>
        <v>2390.3535674528853</v>
      </c>
    </row>
    <row r="98" spans="5:7" x14ac:dyDescent="0.4">
      <c r="E98">
        <v>96</v>
      </c>
      <c r="F98">
        <f t="shared" ca="1" si="2"/>
        <v>2.4879533137703329</v>
      </c>
      <c r="G98">
        <f t="shared" ca="1" si="3"/>
        <v>2467.5646384499146</v>
      </c>
    </row>
    <row r="99" spans="5:7" x14ac:dyDescent="0.4">
      <c r="E99">
        <v>97</v>
      </c>
      <c r="F99">
        <f t="shared" ca="1" si="2"/>
        <v>1.5455919801631512</v>
      </c>
      <c r="G99">
        <f t="shared" ca="1" si="3"/>
        <v>2517.086424487562</v>
      </c>
    </row>
    <row r="100" spans="5:7" x14ac:dyDescent="0.4">
      <c r="E100">
        <v>98</v>
      </c>
      <c r="F100">
        <f t="shared" ca="1" si="2"/>
        <v>0.27071106517618293</v>
      </c>
      <c r="G100">
        <f t="shared" ca="1" si="3"/>
        <v>2526.5287020546461</v>
      </c>
    </row>
    <row r="101" spans="5:7" x14ac:dyDescent="0.4">
      <c r="E101">
        <v>99</v>
      </c>
      <c r="F101">
        <f t="shared" ca="1" si="2"/>
        <v>0.56091756780653923</v>
      </c>
      <c r="G101">
        <f t="shared" ca="1" si="3"/>
        <v>2545.3328173102968</v>
      </c>
    </row>
    <row r="102" spans="5:7" x14ac:dyDescent="0.4">
      <c r="E102">
        <v>100</v>
      </c>
      <c r="F102">
        <f t="shared" ca="1" si="2"/>
        <v>-0.34663911026621386</v>
      </c>
      <c r="G102">
        <f t="shared" ca="1" si="3"/>
        <v>2535.0078609485586</v>
      </c>
    </row>
    <row r="103" spans="5:7" x14ac:dyDescent="0.4">
      <c r="E103">
        <v>101</v>
      </c>
      <c r="F103">
        <f t="shared" ca="1" si="2"/>
        <v>-0.49655488982641471</v>
      </c>
      <c r="G103">
        <f t="shared" ca="1" si="3"/>
        <v>2519.9416847003677</v>
      </c>
    </row>
    <row r="104" spans="5:7" x14ac:dyDescent="0.4">
      <c r="E104">
        <v>102</v>
      </c>
      <c r="F104">
        <f t="shared" ca="1" si="2"/>
        <v>-1.2452909833296366</v>
      </c>
      <c r="G104">
        <f t="shared" ca="1" si="3"/>
        <v>2481.3529030011423</v>
      </c>
    </row>
    <row r="105" spans="5:7" x14ac:dyDescent="0.4">
      <c r="E105">
        <v>103</v>
      </c>
      <c r="F105">
        <f t="shared" ca="1" si="2"/>
        <v>0.49485880782138975</v>
      </c>
      <c r="G105">
        <f t="shared" ca="1" si="3"/>
        <v>2497.732850548191</v>
      </c>
    </row>
    <row r="106" spans="5:7" x14ac:dyDescent="0.4">
      <c r="E106">
        <v>104</v>
      </c>
      <c r="F106">
        <f t="shared" ca="1" si="2"/>
        <v>0.24539212110716557</v>
      </c>
      <c r="G106">
        <f t="shared" ca="1" si="3"/>
        <v>2506.2997261595142</v>
      </c>
    </row>
    <row r="107" spans="5:7" x14ac:dyDescent="0.4">
      <c r="E107">
        <v>105</v>
      </c>
      <c r="F107">
        <f t="shared" ca="1" si="2"/>
        <v>-0.28699602749109832</v>
      </c>
      <c r="G107">
        <f t="shared" ca="1" si="3"/>
        <v>2498.0169777871665</v>
      </c>
    </row>
    <row r="108" spans="5:7" x14ac:dyDescent="0.4">
      <c r="E108">
        <v>106</v>
      </c>
      <c r="F108">
        <f t="shared" ca="1" si="2"/>
        <v>-3.9367313141505003E-2</v>
      </c>
      <c r="G108">
        <f t="shared" ca="1" si="3"/>
        <v>2497.5724664940121</v>
      </c>
    </row>
    <row r="109" spans="5:7" x14ac:dyDescent="0.4">
      <c r="E109">
        <v>107</v>
      </c>
      <c r="F109">
        <f t="shared" ca="1" si="2"/>
        <v>0.77335443660012726</v>
      </c>
      <c r="G109">
        <f t="shared" ca="1" si="3"/>
        <v>2522.9314331259247</v>
      </c>
    </row>
    <row r="110" spans="5:7" x14ac:dyDescent="0.4">
      <c r="E110">
        <v>108</v>
      </c>
      <c r="F110">
        <f t="shared" ca="1" si="2"/>
        <v>-0.8353823343292085</v>
      </c>
      <c r="G110">
        <f t="shared" ca="1" si="3"/>
        <v>2497.2113492659114</v>
      </c>
    </row>
    <row r="111" spans="5:7" x14ac:dyDescent="0.4">
      <c r="E111">
        <v>109</v>
      </c>
      <c r="F111">
        <f t="shared" ca="1" si="2"/>
        <v>0.37495011718547605</v>
      </c>
      <c r="G111">
        <f t="shared" ca="1" si="3"/>
        <v>2509.8862528035561</v>
      </c>
    </row>
    <row r="112" spans="5:7" x14ac:dyDescent="0.4">
      <c r="E112">
        <v>110</v>
      </c>
      <c r="F112">
        <f t="shared" ca="1" si="2"/>
        <v>0.72981485077407759</v>
      </c>
      <c r="G112">
        <f t="shared" ca="1" si="3"/>
        <v>2533.9743089289209</v>
      </c>
    </row>
    <row r="113" spans="5:7" x14ac:dyDescent="0.4">
      <c r="E113">
        <v>111</v>
      </c>
      <c r="F113">
        <f t="shared" ca="1" si="2"/>
        <v>5.6834550528580663E-2</v>
      </c>
      <c r="G113">
        <f t="shared" ca="1" si="3"/>
        <v>2536.6082393213487</v>
      </c>
    </row>
    <row r="114" spans="5:7" x14ac:dyDescent="0.4">
      <c r="E114">
        <v>112</v>
      </c>
      <c r="F114">
        <f t="shared" ca="1" si="2"/>
        <v>0.15740493060878408</v>
      </c>
      <c r="G114">
        <f t="shared" ca="1" si="3"/>
        <v>2542.4772021740264</v>
      </c>
    </row>
    <row r="115" spans="5:7" x14ac:dyDescent="0.4">
      <c r="E115">
        <v>113</v>
      </c>
      <c r="F115">
        <f t="shared" ca="1" si="2"/>
        <v>1.7267145726576056</v>
      </c>
      <c r="G115">
        <f t="shared" ca="1" si="3"/>
        <v>2599.451044172647</v>
      </c>
    </row>
    <row r="116" spans="5:7" x14ac:dyDescent="0.4">
      <c r="E116">
        <v>114</v>
      </c>
      <c r="F116">
        <f t="shared" ca="1" si="2"/>
        <v>-1.1931188272486659</v>
      </c>
      <c r="G116">
        <f t="shared" ca="1" si="3"/>
        <v>2561.3344541389761</v>
      </c>
    </row>
    <row r="117" spans="5:7" x14ac:dyDescent="0.4">
      <c r="E117">
        <v>115</v>
      </c>
      <c r="F117">
        <f t="shared" ca="1" si="2"/>
        <v>-0.32534768628523825</v>
      </c>
      <c r="G117">
        <f t="shared" ca="1" si="3"/>
        <v>2551.6316950460982</v>
      </c>
    </row>
    <row r="118" spans="5:7" x14ac:dyDescent="0.4">
      <c r="E118">
        <v>116</v>
      </c>
      <c r="F118">
        <f t="shared" ca="1" si="2"/>
        <v>-0.78986735883573134</v>
      </c>
      <c r="G118">
        <f t="shared" ca="1" si="3"/>
        <v>2527.0735037283757</v>
      </c>
    </row>
    <row r="119" spans="5:7" x14ac:dyDescent="0.4">
      <c r="E119">
        <v>117</v>
      </c>
      <c r="F119">
        <f t="shared" ca="1" si="2"/>
        <v>1.0327945381719688</v>
      </c>
      <c r="G119">
        <f t="shared" ca="1" si="3"/>
        <v>2561.1230346656903</v>
      </c>
    </row>
    <row r="120" spans="5:7" x14ac:dyDescent="0.4">
      <c r="E120">
        <v>118</v>
      </c>
      <c r="F120">
        <f t="shared" ca="1" si="2"/>
        <v>-4.7899982061638542E-2</v>
      </c>
      <c r="G120">
        <f t="shared" ca="1" si="3"/>
        <v>2560.3909342924126</v>
      </c>
    </row>
    <row r="121" spans="5:7" x14ac:dyDescent="0.4">
      <c r="E121">
        <v>119</v>
      </c>
      <c r="F121">
        <f t="shared" ca="1" si="2"/>
        <v>-1.0225968717403982</v>
      </c>
      <c r="G121">
        <f t="shared" ca="1" si="3"/>
        <v>2528.2946259507244</v>
      </c>
    </row>
    <row r="122" spans="5:7" x14ac:dyDescent="0.4">
      <c r="E122">
        <v>120</v>
      </c>
      <c r="F122">
        <f t="shared" ca="1" si="2"/>
        <v>-0.3481796921601415</v>
      </c>
      <c r="G122">
        <f t="shared" ca="1" si="3"/>
        <v>2517.9897152451726</v>
      </c>
    </row>
    <row r="123" spans="5:7" x14ac:dyDescent="0.4">
      <c r="E123">
        <v>121</v>
      </c>
      <c r="F123">
        <f t="shared" ca="1" si="2"/>
        <v>1.087281135587175</v>
      </c>
      <c r="G123">
        <f t="shared" ca="1" si="3"/>
        <v>2553.6762573251544</v>
      </c>
    </row>
    <row r="124" spans="5:7" x14ac:dyDescent="0.4">
      <c r="E124">
        <v>122</v>
      </c>
      <c r="F124">
        <f t="shared" ca="1" si="2"/>
        <v>-0.71919180602767918</v>
      </c>
      <c r="G124">
        <f t="shared" ca="1" si="3"/>
        <v>2531.360369722544</v>
      </c>
    </row>
    <row r="125" spans="5:7" x14ac:dyDescent="0.4">
      <c r="E125">
        <v>123</v>
      </c>
      <c r="F125">
        <f t="shared" ca="1" si="2"/>
        <v>0.71866441341501808</v>
      </c>
      <c r="G125">
        <f t="shared" ca="1" si="3"/>
        <v>2555.2940866892195</v>
      </c>
    </row>
    <row r="126" spans="5:7" x14ac:dyDescent="0.4">
      <c r="E126">
        <v>124</v>
      </c>
      <c r="F126">
        <f t="shared" ca="1" si="2"/>
        <v>-0.45155827152490036</v>
      </c>
      <c r="G126">
        <f t="shared" ca="1" si="3"/>
        <v>2541.5535017107322</v>
      </c>
    </row>
    <row r="127" spans="5:7" x14ac:dyDescent="0.4">
      <c r="E127">
        <v>125</v>
      </c>
      <c r="F127">
        <f t="shared" ca="1" si="2"/>
        <v>-0.35934605151467414</v>
      </c>
      <c r="G127">
        <f t="shared" ca="1" si="3"/>
        <v>2530.8370579217376</v>
      </c>
    </row>
    <row r="128" spans="5:7" x14ac:dyDescent="0.4">
      <c r="E128">
        <v>126</v>
      </c>
      <c r="F128">
        <f t="shared" ca="1" si="2"/>
        <v>-1.1661135395882201</v>
      </c>
      <c r="G128">
        <f t="shared" ca="1" si="3"/>
        <v>2494.5785616540079</v>
      </c>
    </row>
    <row r="129" spans="5:7" x14ac:dyDescent="0.4">
      <c r="E129">
        <v>127</v>
      </c>
      <c r="F129">
        <f t="shared" ca="1" si="2"/>
        <v>-0.96544064370099059</v>
      </c>
      <c r="G129">
        <f t="shared" ca="1" si="3"/>
        <v>2465.0888124871053</v>
      </c>
    </row>
    <row r="130" spans="5:7" x14ac:dyDescent="0.4">
      <c r="E130">
        <v>128</v>
      </c>
      <c r="F130">
        <f t="shared" ca="1" si="2"/>
        <v>-1.4917176356178568</v>
      </c>
      <c r="G130">
        <f t="shared" ca="1" si="3"/>
        <v>2419.7855845909726</v>
      </c>
    </row>
    <row r="131" spans="5:7" x14ac:dyDescent="0.4">
      <c r="E131">
        <v>129</v>
      </c>
      <c r="F131">
        <f t="shared" ca="1" si="2"/>
        <v>-2.2738608525124351E-2</v>
      </c>
      <c r="G131">
        <f t="shared" ca="1" si="3"/>
        <v>2419.8639308335578</v>
      </c>
    </row>
    <row r="132" spans="5:7" x14ac:dyDescent="0.4">
      <c r="E132">
        <v>130</v>
      </c>
      <c r="F132">
        <f t="shared" ref="F132:F195" ca="1" si="4">NORMSINV(RAND())</f>
        <v>0.86387850487686335</v>
      </c>
      <c r="G132">
        <f t="shared" ref="G132:G195" ca="1" si="5">G131*EXP(($B$2-0.5*$B$3^2)*$B$4+$B$3*SQRT($B$4)*F132)</f>
        <v>2447.2344876372122</v>
      </c>
    </row>
    <row r="133" spans="5:7" x14ac:dyDescent="0.4">
      <c r="E133">
        <v>131</v>
      </c>
      <c r="F133">
        <f t="shared" ca="1" si="4"/>
        <v>8.645644400900096E-2</v>
      </c>
      <c r="G133">
        <f t="shared" ca="1" si="5"/>
        <v>2450.6963375293208</v>
      </c>
    </row>
    <row r="134" spans="5:7" x14ac:dyDescent="0.4">
      <c r="E134">
        <v>132</v>
      </c>
      <c r="F134">
        <f t="shared" ca="1" si="4"/>
        <v>-0.55415589527890885</v>
      </c>
      <c r="G134">
        <f t="shared" ca="1" si="5"/>
        <v>2434.3569230438075</v>
      </c>
    </row>
    <row r="135" spans="5:7" x14ac:dyDescent="0.4">
      <c r="E135">
        <v>133</v>
      </c>
      <c r="F135">
        <f t="shared" ca="1" si="4"/>
        <v>0.61637398962095302</v>
      </c>
      <c r="G135">
        <f t="shared" ca="1" si="5"/>
        <v>2454.1959863372344</v>
      </c>
    </row>
    <row r="136" spans="5:7" x14ac:dyDescent="0.4">
      <c r="E136">
        <v>134</v>
      </c>
      <c r="F136">
        <f t="shared" ca="1" si="4"/>
        <v>-0.96556401545577153</v>
      </c>
      <c r="G136">
        <f t="shared" ca="1" si="5"/>
        <v>2425.1798366200187</v>
      </c>
    </row>
    <row r="137" spans="5:7" x14ac:dyDescent="0.4">
      <c r="E137">
        <v>135</v>
      </c>
      <c r="F137">
        <f t="shared" ca="1" si="4"/>
        <v>2.0858497819255</v>
      </c>
      <c r="G137">
        <f t="shared" ca="1" si="5"/>
        <v>2490.8146502460754</v>
      </c>
    </row>
    <row r="138" spans="5:7" x14ac:dyDescent="0.4">
      <c r="E138">
        <v>136</v>
      </c>
      <c r="F138">
        <f t="shared" ca="1" si="4"/>
        <v>-0.48727730536394998</v>
      </c>
      <c r="G138">
        <f t="shared" ca="1" si="5"/>
        <v>2476.3017099966451</v>
      </c>
    </row>
    <row r="139" spans="5:7" x14ac:dyDescent="0.4">
      <c r="E139">
        <v>137</v>
      </c>
      <c r="F139">
        <f t="shared" ca="1" si="4"/>
        <v>0.6983210306844494</v>
      </c>
      <c r="G139">
        <f t="shared" ca="1" si="5"/>
        <v>2499.0716956413526</v>
      </c>
    </row>
    <row r="140" spans="5:7" x14ac:dyDescent="0.4">
      <c r="E140">
        <v>138</v>
      </c>
      <c r="F140">
        <f t="shared" ca="1" si="4"/>
        <v>0.8189586615905935</v>
      </c>
      <c r="G140">
        <f t="shared" ca="1" si="5"/>
        <v>2525.9025386103667</v>
      </c>
    </row>
    <row r="141" spans="5:7" x14ac:dyDescent="0.4">
      <c r="E141">
        <v>139</v>
      </c>
      <c r="F141">
        <f t="shared" ca="1" si="4"/>
        <v>0.76998379877439482</v>
      </c>
      <c r="G141">
        <f t="shared" ca="1" si="5"/>
        <v>2551.4403686581154</v>
      </c>
    </row>
    <row r="142" spans="5:7" x14ac:dyDescent="0.4">
      <c r="E142">
        <v>140</v>
      </c>
      <c r="F142">
        <f t="shared" ca="1" si="4"/>
        <v>-1.7827597398592454</v>
      </c>
      <c r="G142">
        <f t="shared" ca="1" si="5"/>
        <v>2495.3468185183729</v>
      </c>
    </row>
    <row r="143" spans="5:7" x14ac:dyDescent="0.4">
      <c r="E143">
        <v>141</v>
      </c>
      <c r="F143">
        <f t="shared" ca="1" si="4"/>
        <v>0.83565770513386584</v>
      </c>
      <c r="G143">
        <f t="shared" ca="1" si="5"/>
        <v>2522.6704724901292</v>
      </c>
    </row>
    <row r="144" spans="5:7" x14ac:dyDescent="0.4">
      <c r="E144">
        <v>142</v>
      </c>
      <c r="F144">
        <f t="shared" ca="1" si="4"/>
        <v>-8.3091250429963084E-2</v>
      </c>
      <c r="G144">
        <f t="shared" ca="1" si="5"/>
        <v>2520.8269975354351</v>
      </c>
    </row>
    <row r="145" spans="5:7" x14ac:dyDescent="0.4">
      <c r="E145">
        <v>143</v>
      </c>
      <c r="F145">
        <f t="shared" ca="1" si="4"/>
        <v>0.1788993312369816</v>
      </c>
      <c r="G145">
        <f t="shared" ca="1" si="5"/>
        <v>2527.3465015821535</v>
      </c>
    </row>
    <row r="146" spans="5:7" x14ac:dyDescent="0.4">
      <c r="E146">
        <v>144</v>
      </c>
      <c r="F146">
        <f t="shared" ca="1" si="4"/>
        <v>0.13379029616368354</v>
      </c>
      <c r="G146">
        <f t="shared" ca="1" si="5"/>
        <v>2532.4374730019749</v>
      </c>
    </row>
    <row r="147" spans="5:7" x14ac:dyDescent="0.4">
      <c r="E147">
        <v>145</v>
      </c>
      <c r="F147">
        <f t="shared" ca="1" si="4"/>
        <v>0.59185483473916523</v>
      </c>
      <c r="G147">
        <f t="shared" ca="1" si="5"/>
        <v>2552.2841524608903</v>
      </c>
    </row>
    <row r="148" spans="5:7" x14ac:dyDescent="0.4">
      <c r="E148">
        <v>146</v>
      </c>
      <c r="F148">
        <f t="shared" ca="1" si="4"/>
        <v>0.43026600264363274</v>
      </c>
      <c r="G148">
        <f t="shared" ca="1" si="5"/>
        <v>2567.0341019890134</v>
      </c>
    </row>
    <row r="149" spans="5:7" x14ac:dyDescent="0.4">
      <c r="E149">
        <v>147</v>
      </c>
      <c r="F149">
        <f t="shared" ca="1" si="4"/>
        <v>0.86028984238654715</v>
      </c>
      <c r="G149">
        <f t="shared" ca="1" si="5"/>
        <v>2595.9514270157715</v>
      </c>
    </row>
    <row r="150" spans="5:7" x14ac:dyDescent="0.4">
      <c r="E150">
        <v>148</v>
      </c>
      <c r="F150">
        <f t="shared" ca="1" si="4"/>
        <v>-0.43345563940155102</v>
      </c>
      <c r="G150">
        <f t="shared" ca="1" si="5"/>
        <v>2582.583513232822</v>
      </c>
    </row>
    <row r="151" spans="5:7" x14ac:dyDescent="0.4">
      <c r="E151">
        <v>149</v>
      </c>
      <c r="F151">
        <f t="shared" ca="1" si="4"/>
        <v>0.44070678195445284</v>
      </c>
      <c r="G151">
        <f t="shared" ca="1" si="5"/>
        <v>2597.8516330284724</v>
      </c>
    </row>
    <row r="152" spans="5:7" x14ac:dyDescent="0.4">
      <c r="E152">
        <v>150</v>
      </c>
      <c r="F152">
        <f t="shared" ca="1" si="4"/>
        <v>-1.757419215280102</v>
      </c>
      <c r="G152">
        <f t="shared" ca="1" si="5"/>
        <v>2541.5522549655147</v>
      </c>
    </row>
    <row r="153" spans="5:7" x14ac:dyDescent="0.4">
      <c r="E153">
        <v>151</v>
      </c>
      <c r="F153">
        <f t="shared" ca="1" si="4"/>
        <v>-1.7637811584539007</v>
      </c>
      <c r="G153">
        <f t="shared" ca="1" si="5"/>
        <v>2486.2728839658266</v>
      </c>
    </row>
    <row r="154" spans="5:7" x14ac:dyDescent="0.4">
      <c r="E154">
        <v>152</v>
      </c>
      <c r="F154">
        <f t="shared" ca="1" si="4"/>
        <v>-0.98080582585204479</v>
      </c>
      <c r="G154">
        <f t="shared" ca="1" si="5"/>
        <v>2456.4038577100632</v>
      </c>
    </row>
    <row r="155" spans="5:7" x14ac:dyDescent="0.4">
      <c r="E155">
        <v>153</v>
      </c>
      <c r="F155">
        <f t="shared" ca="1" si="4"/>
        <v>1.3135033143864174</v>
      </c>
      <c r="G155">
        <f t="shared" ca="1" si="5"/>
        <v>2498.3564175629572</v>
      </c>
    </row>
    <row r="156" spans="5:7" x14ac:dyDescent="0.4">
      <c r="E156">
        <v>154</v>
      </c>
      <c r="F156">
        <f t="shared" ca="1" si="4"/>
        <v>0.72834042040857339</v>
      </c>
      <c r="G156">
        <f t="shared" ca="1" si="5"/>
        <v>2522.2867770717462</v>
      </c>
    </row>
    <row r="157" spans="5:7" x14ac:dyDescent="0.4">
      <c r="E157">
        <v>155</v>
      </c>
      <c r="F157">
        <f t="shared" ca="1" si="4"/>
        <v>0.23326364611948114</v>
      </c>
      <c r="G157">
        <f t="shared" ca="1" si="5"/>
        <v>2530.5496166415401</v>
      </c>
    </row>
    <row r="158" spans="5:7" x14ac:dyDescent="0.4">
      <c r="E158">
        <v>156</v>
      </c>
      <c r="F158">
        <f t="shared" ca="1" si="4"/>
        <v>1.3900855673694559</v>
      </c>
      <c r="G158">
        <f t="shared" ca="1" si="5"/>
        <v>2576.2629117972065</v>
      </c>
    </row>
    <row r="159" spans="5:7" x14ac:dyDescent="0.4">
      <c r="E159">
        <v>157</v>
      </c>
      <c r="F159">
        <f t="shared" ca="1" si="4"/>
        <v>-5.0031989421053337E-2</v>
      </c>
      <c r="G159">
        <f t="shared" ca="1" si="5"/>
        <v>2575.4570278163483</v>
      </c>
    </row>
    <row r="160" spans="5:7" x14ac:dyDescent="0.4">
      <c r="E160">
        <v>158</v>
      </c>
      <c r="F160">
        <f t="shared" ca="1" si="4"/>
        <v>-0.6249080803836643</v>
      </c>
      <c r="G160">
        <f t="shared" ca="1" si="5"/>
        <v>2555.9972828025425</v>
      </c>
    </row>
    <row r="161" spans="5:7" x14ac:dyDescent="0.4">
      <c r="E161">
        <v>159</v>
      </c>
      <c r="F161">
        <f t="shared" ca="1" si="4"/>
        <v>1.636853328245661</v>
      </c>
      <c r="G161">
        <f t="shared" ca="1" si="5"/>
        <v>2610.3053642816653</v>
      </c>
    </row>
    <row r="162" spans="5:7" x14ac:dyDescent="0.4">
      <c r="E162">
        <v>160</v>
      </c>
      <c r="F162">
        <f t="shared" ca="1" si="4"/>
        <v>0.79875222024174986</v>
      </c>
      <c r="G162">
        <f t="shared" ca="1" si="5"/>
        <v>2637.6561939620842</v>
      </c>
    </row>
    <row r="163" spans="5:7" x14ac:dyDescent="0.4">
      <c r="E163">
        <v>161</v>
      </c>
      <c r="F163">
        <f t="shared" ca="1" si="4"/>
        <v>0.60921231250832131</v>
      </c>
      <c r="G163">
        <f t="shared" ca="1" si="5"/>
        <v>2658.9111887346571</v>
      </c>
    </row>
    <row r="164" spans="5:7" x14ac:dyDescent="0.4">
      <c r="E164">
        <v>162</v>
      </c>
      <c r="F164">
        <f t="shared" ca="1" si="4"/>
        <v>-0.66860934604570699</v>
      </c>
      <c r="G164">
        <f t="shared" ca="1" si="5"/>
        <v>2637.3625873429382</v>
      </c>
    </row>
    <row r="165" spans="5:7" x14ac:dyDescent="0.4">
      <c r="E165">
        <v>163</v>
      </c>
      <c r="F165">
        <f t="shared" ca="1" si="4"/>
        <v>-2.1442641972627658</v>
      </c>
      <c r="G165">
        <f t="shared" ca="1" si="5"/>
        <v>2567.6122021110932</v>
      </c>
    </row>
    <row r="166" spans="5:7" x14ac:dyDescent="0.4">
      <c r="E166">
        <v>164</v>
      </c>
      <c r="F166">
        <f t="shared" ca="1" si="4"/>
        <v>0.62625545336481847</v>
      </c>
      <c r="G166">
        <f t="shared" ca="1" si="5"/>
        <v>2588.860810130458</v>
      </c>
    </row>
    <row r="167" spans="5:7" x14ac:dyDescent="0.4">
      <c r="E167">
        <v>165</v>
      </c>
      <c r="F167">
        <f t="shared" ca="1" si="4"/>
        <v>4.0684716625555679E-2</v>
      </c>
      <c r="G167">
        <f t="shared" ca="1" si="5"/>
        <v>2591.0224412826337</v>
      </c>
    </row>
    <row r="168" spans="5:7" x14ac:dyDescent="0.4">
      <c r="E168">
        <v>166</v>
      </c>
      <c r="F168">
        <f t="shared" ca="1" si="4"/>
        <v>-1.1330696070522466</v>
      </c>
      <c r="G168">
        <f t="shared" ca="1" si="5"/>
        <v>2554.9693818488372</v>
      </c>
    </row>
    <row r="169" spans="5:7" x14ac:dyDescent="0.4">
      <c r="E169">
        <v>167</v>
      </c>
      <c r="F169">
        <f t="shared" ca="1" si="4"/>
        <v>1.296191581807683</v>
      </c>
      <c r="G169">
        <f t="shared" ca="1" si="5"/>
        <v>2598.0363526249944</v>
      </c>
    </row>
    <row r="170" spans="5:7" x14ac:dyDescent="0.4">
      <c r="E170">
        <v>168</v>
      </c>
      <c r="F170">
        <f t="shared" ca="1" si="4"/>
        <v>-0.76397597575736087</v>
      </c>
      <c r="G170">
        <f t="shared" ca="1" si="5"/>
        <v>2573.8743529343569</v>
      </c>
    </row>
    <row r="171" spans="5:7" x14ac:dyDescent="0.4">
      <c r="E171">
        <v>169</v>
      </c>
      <c r="F171">
        <f t="shared" ca="1" si="4"/>
        <v>-1.973653557986736</v>
      </c>
      <c r="G171">
        <f t="shared" ca="1" si="5"/>
        <v>2511.216587238287</v>
      </c>
    </row>
    <row r="172" spans="5:7" x14ac:dyDescent="0.4">
      <c r="E172">
        <v>170</v>
      </c>
      <c r="F172">
        <f t="shared" ca="1" si="4"/>
        <v>1.1202930995658935</v>
      </c>
      <c r="G172">
        <f t="shared" ca="1" si="5"/>
        <v>2547.8708336468185</v>
      </c>
    </row>
    <row r="173" spans="5:7" x14ac:dyDescent="0.4">
      <c r="E173">
        <v>171</v>
      </c>
      <c r="F173">
        <f t="shared" ca="1" si="4"/>
        <v>-0.50340234089267022</v>
      </c>
      <c r="G173">
        <f t="shared" ca="1" si="5"/>
        <v>2532.5088489409945</v>
      </c>
    </row>
    <row r="174" spans="5:7" x14ac:dyDescent="0.4">
      <c r="E174">
        <v>172</v>
      </c>
      <c r="F174">
        <f t="shared" ca="1" si="4"/>
        <v>0.6784510697207019</v>
      </c>
      <c r="G174">
        <f t="shared" ca="1" si="5"/>
        <v>2555.1533819602587</v>
      </c>
    </row>
    <row r="175" spans="5:7" x14ac:dyDescent="0.4">
      <c r="E175">
        <v>173</v>
      </c>
      <c r="F175">
        <f t="shared" ca="1" si="4"/>
        <v>-0.59420949966237313</v>
      </c>
      <c r="G175">
        <f t="shared" ca="1" si="5"/>
        <v>2536.8319334019061</v>
      </c>
    </row>
    <row r="176" spans="5:7" x14ac:dyDescent="0.4">
      <c r="E176">
        <v>174</v>
      </c>
      <c r="F176">
        <f t="shared" ca="1" si="4"/>
        <v>0.24747394421064589</v>
      </c>
      <c r="G176">
        <f t="shared" ca="1" si="5"/>
        <v>2545.5999463561748</v>
      </c>
    </row>
    <row r="177" spans="5:7" x14ac:dyDescent="0.4">
      <c r="E177">
        <v>175</v>
      </c>
      <c r="F177">
        <f t="shared" ca="1" si="4"/>
        <v>2.0920136139740042</v>
      </c>
      <c r="G177">
        <f t="shared" ca="1" si="5"/>
        <v>2614.6976494139954</v>
      </c>
    </row>
    <row r="178" spans="5:7" x14ac:dyDescent="0.4">
      <c r="E178">
        <v>176</v>
      </c>
      <c r="F178">
        <f t="shared" ca="1" si="4"/>
        <v>-0.59090299946424696</v>
      </c>
      <c r="G178">
        <f t="shared" ca="1" si="5"/>
        <v>2596.0578211785319</v>
      </c>
    </row>
    <row r="179" spans="5:7" x14ac:dyDescent="0.4">
      <c r="E179">
        <v>177</v>
      </c>
      <c r="F179">
        <f t="shared" ca="1" si="4"/>
        <v>-0.96314719726943865</v>
      </c>
      <c r="G179">
        <f t="shared" ca="1" si="5"/>
        <v>2565.4428539024502</v>
      </c>
    </row>
    <row r="180" spans="5:7" x14ac:dyDescent="0.4">
      <c r="E180">
        <v>178</v>
      </c>
      <c r="F180">
        <f t="shared" ca="1" si="4"/>
        <v>0.67886328491399095</v>
      </c>
      <c r="G180">
        <f t="shared" ca="1" si="5"/>
        <v>2588.3953639554184</v>
      </c>
    </row>
    <row r="181" spans="5:7" x14ac:dyDescent="0.4">
      <c r="E181">
        <v>179</v>
      </c>
      <c r="F181">
        <f t="shared" ca="1" si="4"/>
        <v>-0.2327153075413568</v>
      </c>
      <c r="G181">
        <f t="shared" ca="1" si="5"/>
        <v>2581.6132428308815</v>
      </c>
    </row>
    <row r="182" spans="5:7" x14ac:dyDescent="0.4">
      <c r="E182">
        <v>180</v>
      </c>
      <c r="F182">
        <f t="shared" ca="1" si="4"/>
        <v>0.74965080747239254</v>
      </c>
      <c r="G182">
        <f t="shared" ca="1" si="5"/>
        <v>2607.0437262628839</v>
      </c>
    </row>
    <row r="183" spans="5:7" x14ac:dyDescent="0.4">
      <c r="E183">
        <v>181</v>
      </c>
      <c r="F183">
        <f t="shared" ca="1" si="4"/>
        <v>0.42456292153049618</v>
      </c>
      <c r="G183">
        <f t="shared" ca="1" si="5"/>
        <v>2621.9209884630159</v>
      </c>
    </row>
    <row r="184" spans="5:7" x14ac:dyDescent="0.4">
      <c r="E184">
        <v>182</v>
      </c>
      <c r="F184">
        <f t="shared" ca="1" si="4"/>
        <v>-0.22948489609398157</v>
      </c>
      <c r="G184">
        <f t="shared" ca="1" si="5"/>
        <v>2615.1578813571027</v>
      </c>
    </row>
    <row r="185" spans="5:7" x14ac:dyDescent="0.4">
      <c r="E185">
        <v>183</v>
      </c>
      <c r="F185">
        <f t="shared" ca="1" si="4"/>
        <v>0.66378525979912939</v>
      </c>
      <c r="G185">
        <f t="shared" ca="1" si="5"/>
        <v>2638.0519951549004</v>
      </c>
    </row>
    <row r="186" spans="5:7" x14ac:dyDescent="0.4">
      <c r="E186">
        <v>184</v>
      </c>
      <c r="F186">
        <f t="shared" ca="1" si="4"/>
        <v>0.95406204106766845</v>
      </c>
      <c r="G186">
        <f t="shared" ca="1" si="5"/>
        <v>2670.935539811745</v>
      </c>
    </row>
    <row r="187" spans="5:7" x14ac:dyDescent="0.4">
      <c r="E187">
        <v>185</v>
      </c>
      <c r="F187">
        <f t="shared" ca="1" si="4"/>
        <v>-0.40087245325201554</v>
      </c>
      <c r="G187">
        <f t="shared" ca="1" si="5"/>
        <v>2658.2768721715443</v>
      </c>
    </row>
    <row r="188" spans="5:7" x14ac:dyDescent="0.4">
      <c r="E188">
        <v>186</v>
      </c>
      <c r="F188">
        <f t="shared" ca="1" si="4"/>
        <v>-0.56501154208652904</v>
      </c>
      <c r="G188">
        <f t="shared" ca="1" si="5"/>
        <v>2640.1909047777467</v>
      </c>
    </row>
    <row r="189" spans="5:7" x14ac:dyDescent="0.4">
      <c r="E189">
        <v>187</v>
      </c>
      <c r="F189">
        <f t="shared" ca="1" si="4"/>
        <v>1.2417533769176794</v>
      </c>
      <c r="G189">
        <f t="shared" ca="1" si="5"/>
        <v>2682.8463526631808</v>
      </c>
    </row>
    <row r="190" spans="5:7" x14ac:dyDescent="0.4">
      <c r="E190">
        <v>188</v>
      </c>
      <c r="F190">
        <f t="shared" ca="1" si="4"/>
        <v>1.1017182745115774</v>
      </c>
      <c r="G190">
        <f t="shared" ca="1" si="5"/>
        <v>2721.3662695097942</v>
      </c>
    </row>
    <row r="191" spans="5:7" x14ac:dyDescent="0.4">
      <c r="E191">
        <v>189</v>
      </c>
      <c r="F191">
        <f t="shared" ca="1" si="4"/>
        <v>0.68541988019992817</v>
      </c>
      <c r="G191">
        <f t="shared" ca="1" si="5"/>
        <v>2745.9415210268817</v>
      </c>
    </row>
    <row r="192" spans="5:7" x14ac:dyDescent="0.4">
      <c r="E192">
        <v>190</v>
      </c>
      <c r="F192">
        <f t="shared" ca="1" si="4"/>
        <v>1.6501591746673356</v>
      </c>
      <c r="G192">
        <f t="shared" ca="1" si="5"/>
        <v>2804.7574286537201</v>
      </c>
    </row>
    <row r="193" spans="5:7" x14ac:dyDescent="0.4">
      <c r="E193">
        <v>191</v>
      </c>
      <c r="F193">
        <f t="shared" ca="1" si="4"/>
        <v>-4.9489044582045685E-2</v>
      </c>
      <c r="G193">
        <f t="shared" ca="1" si="5"/>
        <v>2803.8993254887509</v>
      </c>
    </row>
    <row r="194" spans="5:7" x14ac:dyDescent="0.4">
      <c r="E194">
        <v>192</v>
      </c>
      <c r="F194">
        <f t="shared" ca="1" si="4"/>
        <v>-0.58465193249099934</v>
      </c>
      <c r="G194">
        <f t="shared" ca="1" si="5"/>
        <v>2784.1308376664138</v>
      </c>
    </row>
    <row r="195" spans="5:7" x14ac:dyDescent="0.4">
      <c r="E195">
        <v>193</v>
      </c>
      <c r="F195">
        <f t="shared" ca="1" si="4"/>
        <v>0.72492104278396519</v>
      </c>
      <c r="G195">
        <f t="shared" ca="1" si="5"/>
        <v>2810.6769003258223</v>
      </c>
    </row>
    <row r="196" spans="5:7" x14ac:dyDescent="0.4">
      <c r="E196">
        <v>194</v>
      </c>
      <c r="F196">
        <f t="shared" ref="F196:F252" ca="1" si="6">NORMSINV(RAND())</f>
        <v>-0.12242099454185759</v>
      </c>
      <c r="G196">
        <f t="shared" ref="G196:G252" ca="1" si="7">G195*EXP(($B$2-0.5*$B$3^2)*$B$4+$B$3*SQRT($B$4)*F196)</f>
        <v>2807.2260569456394</v>
      </c>
    </row>
    <row r="197" spans="5:7" x14ac:dyDescent="0.4">
      <c r="E197">
        <v>195</v>
      </c>
      <c r="F197">
        <f t="shared" ca="1" si="6"/>
        <v>0.72445489520929651</v>
      </c>
      <c r="G197">
        <f t="shared" ca="1" si="7"/>
        <v>2833.9756171695603</v>
      </c>
    </row>
    <row r="198" spans="5:7" x14ac:dyDescent="0.4">
      <c r="E198">
        <v>196</v>
      </c>
      <c r="F198">
        <f t="shared" ca="1" si="6"/>
        <v>0.86356920097013812</v>
      </c>
      <c r="G198">
        <f t="shared" ca="1" si="7"/>
        <v>2866.0188884753097</v>
      </c>
    </row>
    <row r="199" spans="5:7" x14ac:dyDescent="0.4">
      <c r="E199">
        <v>197</v>
      </c>
      <c r="F199">
        <f t="shared" ca="1" si="6"/>
        <v>-0.19378163954722608</v>
      </c>
      <c r="G199">
        <f t="shared" ca="1" si="7"/>
        <v>2859.9174321036708</v>
      </c>
    </row>
    <row r="200" spans="5:7" x14ac:dyDescent="0.4">
      <c r="E200">
        <v>198</v>
      </c>
      <c r="F200">
        <f t="shared" ca="1" si="6"/>
        <v>0.32375622315433733</v>
      </c>
      <c r="G200">
        <f t="shared" ca="1" si="7"/>
        <v>2872.5725374803492</v>
      </c>
    </row>
    <row r="201" spans="5:7" x14ac:dyDescent="0.4">
      <c r="E201">
        <v>199</v>
      </c>
      <c r="F201">
        <f t="shared" ca="1" si="6"/>
        <v>-0.27745934914076953</v>
      </c>
      <c r="G201">
        <f t="shared" ca="1" si="7"/>
        <v>2863.4247366151963</v>
      </c>
    </row>
    <row r="202" spans="5:7" x14ac:dyDescent="0.4">
      <c r="E202">
        <v>200</v>
      </c>
      <c r="F202">
        <f t="shared" ca="1" si="6"/>
        <v>-2.0513847799410092</v>
      </c>
      <c r="G202">
        <f t="shared" ca="1" si="7"/>
        <v>2790.9727075044821</v>
      </c>
    </row>
    <row r="203" spans="5:7" x14ac:dyDescent="0.4">
      <c r="E203">
        <v>201</v>
      </c>
      <c r="F203">
        <f t="shared" ca="1" si="6"/>
        <v>-0.81021244224894962</v>
      </c>
      <c r="G203">
        <f t="shared" ca="1" si="7"/>
        <v>2763.3997327514726</v>
      </c>
    </row>
    <row r="204" spans="5:7" x14ac:dyDescent="0.4">
      <c r="E204">
        <v>202</v>
      </c>
      <c r="F204">
        <f t="shared" ca="1" si="6"/>
        <v>-1.7937886376051633</v>
      </c>
      <c r="G204">
        <f t="shared" ca="1" si="7"/>
        <v>2702.2692365030166</v>
      </c>
    </row>
    <row r="205" spans="5:7" x14ac:dyDescent="0.4">
      <c r="E205">
        <v>203</v>
      </c>
      <c r="F205">
        <f t="shared" ca="1" si="6"/>
        <v>0.25611928023957881</v>
      </c>
      <c r="G205">
        <f t="shared" ca="1" si="7"/>
        <v>2711.9055942712489</v>
      </c>
    </row>
    <row r="206" spans="5:7" x14ac:dyDescent="0.4">
      <c r="E206">
        <v>204</v>
      </c>
      <c r="F206">
        <f t="shared" ca="1" si="6"/>
        <v>-0.10614958307187532</v>
      </c>
      <c r="G206">
        <f t="shared" ca="1" si="7"/>
        <v>2709.1335520523189</v>
      </c>
    </row>
    <row r="207" spans="5:7" x14ac:dyDescent="0.4">
      <c r="E207">
        <v>205</v>
      </c>
      <c r="F207">
        <f t="shared" ca="1" si="6"/>
        <v>-1.0717220025312566</v>
      </c>
      <c r="G207">
        <f t="shared" ca="1" si="7"/>
        <v>2673.5108429007728</v>
      </c>
    </row>
    <row r="208" spans="5:7" x14ac:dyDescent="0.4">
      <c r="E208">
        <v>206</v>
      </c>
      <c r="F208">
        <f t="shared" ca="1" si="6"/>
        <v>-2.0191672687698663</v>
      </c>
      <c r="G208">
        <f t="shared" ca="1" si="7"/>
        <v>2606.9262906130684</v>
      </c>
    </row>
    <row r="209" spans="5:7" x14ac:dyDescent="0.4">
      <c r="E209">
        <v>207</v>
      </c>
      <c r="F209">
        <f t="shared" ca="1" si="6"/>
        <v>-2.4345558585656422</v>
      </c>
      <c r="G209">
        <f t="shared" ca="1" si="7"/>
        <v>2528.6786523078049</v>
      </c>
    </row>
    <row r="210" spans="5:7" x14ac:dyDescent="0.4">
      <c r="E210">
        <v>208</v>
      </c>
      <c r="F210">
        <f t="shared" ca="1" si="6"/>
        <v>-0.44180615181760696</v>
      </c>
      <c r="G210">
        <f t="shared" ca="1" si="7"/>
        <v>2515.3914551149724</v>
      </c>
    </row>
    <row r="211" spans="5:7" x14ac:dyDescent="0.4">
      <c r="E211">
        <v>209</v>
      </c>
      <c r="F211">
        <f t="shared" ca="1" si="6"/>
        <v>0.53522440552333062</v>
      </c>
      <c r="G211">
        <f t="shared" ca="1" si="7"/>
        <v>2533.2892377462349</v>
      </c>
    </row>
    <row r="212" spans="5:7" x14ac:dyDescent="0.4">
      <c r="E212">
        <v>210</v>
      </c>
      <c r="F212">
        <f t="shared" ca="1" si="6"/>
        <v>-0.82206040414548465</v>
      </c>
      <c r="G212">
        <f t="shared" ca="1" si="7"/>
        <v>2507.8861307170441</v>
      </c>
    </row>
    <row r="213" spans="5:7" x14ac:dyDescent="0.4">
      <c r="E213">
        <v>211</v>
      </c>
      <c r="F213">
        <f t="shared" ca="1" si="6"/>
        <v>-1.2284741838219437</v>
      </c>
      <c r="G213">
        <f t="shared" ca="1" si="7"/>
        <v>2470.0073181373909</v>
      </c>
    </row>
    <row r="214" spans="5:7" x14ac:dyDescent="0.4">
      <c r="E214">
        <v>212</v>
      </c>
      <c r="F214">
        <f t="shared" ca="1" si="6"/>
        <v>-9.57644338988317E-2</v>
      </c>
      <c r="G214">
        <f t="shared" ca="1" si="7"/>
        <v>2467.8066952542108</v>
      </c>
    </row>
    <row r="215" spans="5:7" x14ac:dyDescent="0.4">
      <c r="E215">
        <v>213</v>
      </c>
      <c r="F215">
        <f t="shared" ca="1" si="6"/>
        <v>0.15185117876508847</v>
      </c>
      <c r="G215">
        <f t="shared" ca="1" si="7"/>
        <v>2473.3427131568037</v>
      </c>
    </row>
    <row r="216" spans="5:7" x14ac:dyDescent="0.4">
      <c r="E216">
        <v>214</v>
      </c>
      <c r="F216">
        <f t="shared" ca="1" si="6"/>
        <v>-0.92109950136493435</v>
      </c>
      <c r="G216">
        <f t="shared" ca="1" si="7"/>
        <v>2445.4752281503593</v>
      </c>
    </row>
    <row r="217" spans="5:7" x14ac:dyDescent="0.4">
      <c r="E217">
        <v>215</v>
      </c>
      <c r="F217">
        <f t="shared" ca="1" si="6"/>
        <v>-2.5916234169575181</v>
      </c>
      <c r="G217">
        <f t="shared" ca="1" si="7"/>
        <v>2367.36551552829</v>
      </c>
    </row>
    <row r="218" spans="5:7" x14ac:dyDescent="0.4">
      <c r="E218">
        <v>216</v>
      </c>
      <c r="F218">
        <f t="shared" ca="1" si="6"/>
        <v>-9.5573573327698905E-2</v>
      </c>
      <c r="G218">
        <f t="shared" ca="1" si="7"/>
        <v>2365.2620503545286</v>
      </c>
    </row>
    <row r="219" spans="5:7" x14ac:dyDescent="0.4">
      <c r="E219">
        <v>217</v>
      </c>
      <c r="F219">
        <f t="shared" ca="1" si="6"/>
        <v>0.23748276015659989</v>
      </c>
      <c r="G219">
        <f t="shared" ca="1" si="7"/>
        <v>2373.1371339206016</v>
      </c>
    </row>
    <row r="220" spans="5:7" x14ac:dyDescent="0.4">
      <c r="E220">
        <v>218</v>
      </c>
      <c r="F220">
        <f t="shared" ca="1" si="6"/>
        <v>-1.559473439157675</v>
      </c>
      <c r="G220">
        <f t="shared" ca="1" si="7"/>
        <v>2327.528122897374</v>
      </c>
    </row>
    <row r="221" spans="5:7" x14ac:dyDescent="0.4">
      <c r="E221">
        <v>219</v>
      </c>
      <c r="F221">
        <f t="shared" ca="1" si="6"/>
        <v>-0.9576326320188927</v>
      </c>
      <c r="G221">
        <f t="shared" ca="1" si="7"/>
        <v>2300.2403370788575</v>
      </c>
    </row>
    <row r="222" spans="5:7" x14ac:dyDescent="0.4">
      <c r="E222">
        <v>220</v>
      </c>
      <c r="F222">
        <f t="shared" ca="1" si="6"/>
        <v>1.1563746026891166</v>
      </c>
      <c r="G222">
        <f t="shared" ca="1" si="7"/>
        <v>2334.880523508732</v>
      </c>
    </row>
    <row r="223" spans="5:7" x14ac:dyDescent="0.4">
      <c r="E223">
        <v>221</v>
      </c>
      <c r="F223">
        <f t="shared" ca="1" si="6"/>
        <v>0.3216099275570618</v>
      </c>
      <c r="G223">
        <f t="shared" ca="1" si="7"/>
        <v>2345.1486772630078</v>
      </c>
    </row>
    <row r="224" spans="5:7" x14ac:dyDescent="0.4">
      <c r="E224">
        <v>222</v>
      </c>
      <c r="F224">
        <f t="shared" ca="1" si="6"/>
        <v>1.3609452072690253</v>
      </c>
      <c r="G224">
        <f t="shared" ca="1" si="7"/>
        <v>2386.632909664238</v>
      </c>
    </row>
    <row r="225" spans="5:7" x14ac:dyDescent="0.4">
      <c r="E225">
        <v>223</v>
      </c>
      <c r="F225">
        <f t="shared" ca="1" si="6"/>
        <v>-1.5272190567140362</v>
      </c>
      <c r="G225">
        <f t="shared" ca="1" si="7"/>
        <v>2341.7197267096267</v>
      </c>
    </row>
    <row r="226" spans="5:7" x14ac:dyDescent="0.4">
      <c r="E226">
        <v>224</v>
      </c>
      <c r="F226">
        <f t="shared" ca="1" si="6"/>
        <v>1.2510532990670997</v>
      </c>
      <c r="G226">
        <f t="shared" ca="1" si="7"/>
        <v>2379.8329520013449</v>
      </c>
    </row>
    <row r="227" spans="5:7" x14ac:dyDescent="0.4">
      <c r="E227">
        <v>225</v>
      </c>
      <c r="F227">
        <f t="shared" ca="1" si="6"/>
        <v>1.7499584095816407</v>
      </c>
      <c r="G227">
        <f t="shared" ca="1" si="7"/>
        <v>2433.877621457767</v>
      </c>
    </row>
    <row r="228" spans="5:7" x14ac:dyDescent="0.4">
      <c r="E228">
        <v>226</v>
      </c>
      <c r="F228">
        <f t="shared" ca="1" si="6"/>
        <v>7.0826184914910925E-2</v>
      </c>
      <c r="G228">
        <f t="shared" ca="1" si="7"/>
        <v>2436.8387444903428</v>
      </c>
    </row>
    <row r="229" spans="5:7" x14ac:dyDescent="0.4">
      <c r="E229">
        <v>227</v>
      </c>
      <c r="F229">
        <f t="shared" ca="1" si="6"/>
        <v>0.40375404362014278</v>
      </c>
      <c r="G229">
        <f t="shared" ca="1" si="7"/>
        <v>2450.0997361074205</v>
      </c>
    </row>
    <row r="230" spans="5:7" x14ac:dyDescent="0.4">
      <c r="E230">
        <v>228</v>
      </c>
      <c r="F230">
        <f t="shared" ca="1" si="6"/>
        <v>0.68329764007363902</v>
      </c>
      <c r="G230">
        <f t="shared" ca="1" si="7"/>
        <v>2472.158955199071</v>
      </c>
    </row>
    <row r="231" spans="5:7" x14ac:dyDescent="0.4">
      <c r="E231">
        <v>229</v>
      </c>
      <c r="F231">
        <f t="shared" ca="1" si="6"/>
        <v>0.50766180049817444</v>
      </c>
      <c r="G231">
        <f t="shared" ca="1" si="7"/>
        <v>2488.8812444051132</v>
      </c>
    </row>
    <row r="232" spans="5:7" x14ac:dyDescent="0.4">
      <c r="E232">
        <v>230</v>
      </c>
      <c r="F232">
        <f t="shared" ca="1" si="6"/>
        <v>0.87478677065233779</v>
      </c>
      <c r="G232">
        <f t="shared" ca="1" si="7"/>
        <v>2517.3797648409941</v>
      </c>
    </row>
    <row r="233" spans="5:7" x14ac:dyDescent="0.4">
      <c r="E233">
        <v>231</v>
      </c>
      <c r="F233">
        <f t="shared" ca="1" si="6"/>
        <v>-0.42991045257243488</v>
      </c>
      <c r="G233">
        <f t="shared" ca="1" si="7"/>
        <v>2504.5287669247327</v>
      </c>
    </row>
    <row r="234" spans="5:7" x14ac:dyDescent="0.4">
      <c r="E234">
        <v>232</v>
      </c>
      <c r="F234">
        <f t="shared" ca="1" si="6"/>
        <v>0.84877607206991679</v>
      </c>
      <c r="G234">
        <f t="shared" ca="1" si="7"/>
        <v>2532.37313796632</v>
      </c>
    </row>
    <row r="235" spans="5:7" x14ac:dyDescent="0.4">
      <c r="E235">
        <v>233</v>
      </c>
      <c r="F235">
        <f t="shared" ca="1" si="6"/>
        <v>-1.8429861178691507</v>
      </c>
      <c r="G235">
        <f t="shared" ca="1" si="7"/>
        <v>2474.8127261977797</v>
      </c>
    </row>
    <row r="236" spans="5:7" x14ac:dyDescent="0.4">
      <c r="E236">
        <v>234</v>
      </c>
      <c r="F236">
        <f t="shared" ca="1" si="6"/>
        <v>-2.5320684141881844</v>
      </c>
      <c r="G236">
        <f t="shared" ca="1" si="7"/>
        <v>2397.5714122285231</v>
      </c>
    </row>
    <row r="237" spans="5:7" x14ac:dyDescent="0.4">
      <c r="E237">
        <v>235</v>
      </c>
      <c r="F237">
        <f t="shared" ca="1" si="6"/>
        <v>0.31304704458999238</v>
      </c>
      <c r="G237">
        <f t="shared" ca="1" si="7"/>
        <v>2407.8544473259822</v>
      </c>
    </row>
    <row r="238" spans="5:7" x14ac:dyDescent="0.4">
      <c r="E238">
        <v>236</v>
      </c>
      <c r="F238">
        <f t="shared" ca="1" si="6"/>
        <v>0.49438035808213587</v>
      </c>
      <c r="G238">
        <f t="shared" ca="1" si="7"/>
        <v>2423.7345472621373</v>
      </c>
    </row>
    <row r="239" spans="5:7" x14ac:dyDescent="0.4">
      <c r="E239">
        <v>237</v>
      </c>
      <c r="F239">
        <f t="shared" ca="1" si="6"/>
        <v>4.6053464621521219E-2</v>
      </c>
      <c r="G239">
        <f t="shared" ca="1" si="7"/>
        <v>2425.9230408649232</v>
      </c>
    </row>
    <row r="240" spans="5:7" x14ac:dyDescent="0.4">
      <c r="E240">
        <v>238</v>
      </c>
      <c r="F240">
        <f t="shared" ca="1" si="6"/>
        <v>-0.42076984109582422</v>
      </c>
      <c r="G240">
        <f t="shared" ca="1" si="7"/>
        <v>2413.8179922871168</v>
      </c>
    </row>
    <row r="241" spans="5:7" x14ac:dyDescent="0.4">
      <c r="E241">
        <v>239</v>
      </c>
      <c r="F241">
        <f t="shared" ca="1" si="6"/>
        <v>0.4268986705789532</v>
      </c>
      <c r="G241">
        <f t="shared" ca="1" si="7"/>
        <v>2427.6643240882836</v>
      </c>
    </row>
    <row r="242" spans="5:7" x14ac:dyDescent="0.4">
      <c r="E242">
        <v>240</v>
      </c>
      <c r="F242">
        <f t="shared" ca="1" si="6"/>
        <v>-1.7064271098396357</v>
      </c>
      <c r="G242">
        <f t="shared" ca="1" si="7"/>
        <v>2376.5855774808165</v>
      </c>
    </row>
    <row r="243" spans="5:7" x14ac:dyDescent="0.4">
      <c r="E243">
        <v>241</v>
      </c>
      <c r="F243">
        <f t="shared" ca="1" si="6"/>
        <v>-0.74580813221083364</v>
      </c>
      <c r="G243">
        <f t="shared" ca="1" si="7"/>
        <v>2355.0242313191879</v>
      </c>
    </row>
    <row r="244" spans="5:7" x14ac:dyDescent="0.4">
      <c r="E244">
        <v>242</v>
      </c>
      <c r="F244">
        <f t="shared" ca="1" si="6"/>
        <v>2.1979881757430864</v>
      </c>
      <c r="G244">
        <f t="shared" ca="1" si="7"/>
        <v>2422.1936883363769</v>
      </c>
    </row>
    <row r="245" spans="5:7" x14ac:dyDescent="0.4">
      <c r="E245">
        <v>243</v>
      </c>
      <c r="F245">
        <f t="shared" ca="1" si="6"/>
        <v>-0.22192302648525755</v>
      </c>
      <c r="G245">
        <f t="shared" ca="1" si="7"/>
        <v>2416.176865782882</v>
      </c>
    </row>
    <row r="246" spans="5:7" x14ac:dyDescent="0.4">
      <c r="E246">
        <v>244</v>
      </c>
      <c r="F246">
        <f t="shared" ca="1" si="6"/>
        <v>-0.26460760151729917</v>
      </c>
      <c r="G246">
        <f t="shared" ca="1" si="7"/>
        <v>2408.8740341983662</v>
      </c>
    </row>
    <row r="247" spans="5:7" x14ac:dyDescent="0.4">
      <c r="E247">
        <v>245</v>
      </c>
      <c r="F247">
        <f t="shared" ca="1" si="6"/>
        <v>-0.39667271702219975</v>
      </c>
      <c r="G247">
        <f t="shared" ca="1" si="7"/>
        <v>2397.5847477043085</v>
      </c>
    </row>
    <row r="248" spans="5:7" x14ac:dyDescent="0.4">
      <c r="E248">
        <v>246</v>
      </c>
      <c r="F248">
        <f t="shared" ca="1" si="6"/>
        <v>-0.83965742242245389</v>
      </c>
      <c r="G248">
        <f t="shared" ca="1" si="7"/>
        <v>2373.0141868456008</v>
      </c>
    </row>
    <row r="249" spans="5:7" x14ac:dyDescent="0.4">
      <c r="E249">
        <v>247</v>
      </c>
      <c r="F249">
        <f t="shared" ca="1" si="6"/>
        <v>0.59337375972390116</v>
      </c>
      <c r="G249">
        <f t="shared" ca="1" si="7"/>
        <v>2391.6574186819994</v>
      </c>
    </row>
    <row r="250" spans="5:7" x14ac:dyDescent="0.4">
      <c r="E250">
        <v>248</v>
      </c>
      <c r="F250">
        <f t="shared" ca="1" si="6"/>
        <v>-0.9487968648304882</v>
      </c>
      <c r="G250">
        <f t="shared" ca="1" si="7"/>
        <v>2363.881968791457</v>
      </c>
    </row>
    <row r="251" spans="5:7" x14ac:dyDescent="0.4">
      <c r="E251">
        <v>249</v>
      </c>
      <c r="F251">
        <f t="shared" ca="1" si="6"/>
        <v>0.94781681120687478</v>
      </c>
      <c r="G251">
        <f t="shared" ca="1" si="7"/>
        <v>2393.1589016336625</v>
      </c>
    </row>
    <row r="252" spans="5:7" x14ac:dyDescent="0.4">
      <c r="E252">
        <v>250</v>
      </c>
      <c r="F252">
        <f t="shared" ca="1" si="6"/>
        <v>1.3050491615964819</v>
      </c>
      <c r="G252">
        <f t="shared" ca="1" si="7"/>
        <v>2433.771034852185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B12" sqref="B12"/>
    </sheetView>
  </sheetViews>
  <sheetFormatPr defaultRowHeight="17.399999999999999" x14ac:dyDescent="0.4"/>
  <sheetData>
    <row r="1" spans="1:2" x14ac:dyDescent="0.4">
      <c r="A1" t="s">
        <v>6</v>
      </c>
      <c r="B1">
        <v>217</v>
      </c>
    </row>
    <row r="2" spans="1:2" x14ac:dyDescent="0.4">
      <c r="A2" t="s">
        <v>7</v>
      </c>
      <c r="B2">
        <v>215</v>
      </c>
    </row>
    <row r="3" spans="1:2" x14ac:dyDescent="0.4">
      <c r="A3" t="s">
        <v>8</v>
      </c>
      <c r="B3" s="1">
        <v>0.05</v>
      </c>
    </row>
    <row r="4" spans="1:2" x14ac:dyDescent="0.4">
      <c r="A4" t="s">
        <v>9</v>
      </c>
      <c r="B4">
        <v>0</v>
      </c>
    </row>
    <row r="5" spans="1:2" x14ac:dyDescent="0.4">
      <c r="A5" t="s">
        <v>10</v>
      </c>
      <c r="B5">
        <f>1/12</f>
        <v>8.3333333333333329E-2</v>
      </c>
    </row>
    <row r="6" spans="1:2" x14ac:dyDescent="0.4">
      <c r="A6" t="s">
        <v>11</v>
      </c>
      <c r="B6" s="1">
        <v>0.3</v>
      </c>
    </row>
    <row r="7" spans="1:2" x14ac:dyDescent="0.4">
      <c r="A7" t="s">
        <v>12</v>
      </c>
      <c r="B7" t="s">
        <v>13</v>
      </c>
    </row>
    <row r="9" spans="1:2" x14ac:dyDescent="0.4">
      <c r="B9" t="s">
        <v>14</v>
      </c>
    </row>
    <row r="10" spans="1:2" x14ac:dyDescent="0.4">
      <c r="A10">
        <v>10</v>
      </c>
      <c r="B10">
        <f>Module1.MonteCarlo($B$1,$B$2,$B$3,$B$4,$B$5,$B$6,$B$7,A10)</f>
        <v>10.64211705604608</v>
      </c>
    </row>
    <row r="11" spans="1:2" x14ac:dyDescent="0.4">
      <c r="A11">
        <v>100</v>
      </c>
      <c r="B11">
        <f t="shared" ref="B11" si="0">Module1.MonteCarlo($B$1,$B$2,$B$3,$B$4,$B$5,$B$6,$B$7,A11)</f>
        <v>6.4870643734208562</v>
      </c>
    </row>
    <row r="12" spans="1:2" x14ac:dyDescent="0.4">
      <c r="A12">
        <v>1000</v>
      </c>
      <c r="B12">
        <f>Module1.MonteCarlo($B$1,$B$2,$B$3,$B$4,$B$5,$B$6,$B$7,A12)</f>
        <v>6.3733261681956224</v>
      </c>
    </row>
    <row r="13" spans="1:2" x14ac:dyDescent="0.4">
      <c r="B13" t="s">
        <v>15</v>
      </c>
    </row>
    <row r="14" spans="1:2" x14ac:dyDescent="0.4">
      <c r="A14">
        <v>10</v>
      </c>
      <c r="B14">
        <f>stratified($B$1,$B$2,$B$3,$B$4,$B$5,$B$6,$B$7,A14)</f>
        <v>5.8554562976525597</v>
      </c>
    </row>
    <row r="15" spans="1:2" x14ac:dyDescent="0.4">
      <c r="A15">
        <v>100</v>
      </c>
      <c r="B15">
        <f t="shared" ref="B15:B16" si="1">stratified($B$1,$B$2,$B$3,$B$4,$B$5,$B$6,$B$7,A15)</f>
        <v>6.0718487523743025</v>
      </c>
    </row>
    <row r="16" spans="1:2" x14ac:dyDescent="0.4">
      <c r="A16">
        <v>1000</v>
      </c>
      <c r="B16">
        <f t="shared" si="1"/>
        <v>6.0859419510890005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27"/>
  <sheetViews>
    <sheetView topLeftCell="A10" workbookViewId="0">
      <selection activeCell="A28" sqref="A28"/>
    </sheetView>
  </sheetViews>
  <sheetFormatPr defaultRowHeight="17.399999999999999" x14ac:dyDescent="0.4"/>
  <cols>
    <col min="2" max="2" width="12.19921875" bestFit="1" customWidth="1"/>
    <col min="3" max="3" width="22.3984375" bestFit="1" customWidth="1"/>
    <col min="4" max="4" width="11.69921875" bestFit="1" customWidth="1"/>
    <col min="5" max="5" width="12.296875" bestFit="1" customWidth="1"/>
    <col min="6" max="7" width="11.69921875" bestFit="1" customWidth="1"/>
  </cols>
  <sheetData>
    <row r="2" spans="1:7" x14ac:dyDescent="0.4">
      <c r="A2" t="s">
        <v>16</v>
      </c>
      <c r="B2">
        <v>122</v>
      </c>
    </row>
    <row r="3" spans="1:7" x14ac:dyDescent="0.4">
      <c r="A3" t="s">
        <v>17</v>
      </c>
      <c r="B3">
        <v>25.884</v>
      </c>
    </row>
    <row r="4" spans="1:7" x14ac:dyDescent="0.4">
      <c r="A4" t="s">
        <v>18</v>
      </c>
      <c r="B4">
        <v>0.05</v>
      </c>
    </row>
    <row r="5" spans="1:7" x14ac:dyDescent="0.4">
      <c r="A5" t="s">
        <v>19</v>
      </c>
      <c r="B5">
        <v>0.02</v>
      </c>
    </row>
    <row r="6" spans="1:7" x14ac:dyDescent="0.4">
      <c r="A6" t="s">
        <v>20</v>
      </c>
      <c r="B6">
        <v>0.13</v>
      </c>
    </row>
    <row r="7" spans="1:7" x14ac:dyDescent="0.4">
      <c r="A7" t="s">
        <v>21</v>
      </c>
      <c r="B7">
        <v>0.1</v>
      </c>
    </row>
    <row r="8" spans="1:7" x14ac:dyDescent="0.4">
      <c r="A8" t="s">
        <v>22</v>
      </c>
      <c r="B8">
        <v>0.1</v>
      </c>
    </row>
    <row r="9" spans="1:7" x14ac:dyDescent="0.4">
      <c r="A9" t="s">
        <v>23</v>
      </c>
      <c r="B9">
        <v>0.3</v>
      </c>
    </row>
    <row r="10" spans="1:7" x14ac:dyDescent="0.4">
      <c r="A10" t="s">
        <v>24</v>
      </c>
      <c r="B10">
        <v>1</v>
      </c>
    </row>
    <row r="11" spans="1:7" x14ac:dyDescent="0.4">
      <c r="A11" s="7" t="s">
        <v>26</v>
      </c>
      <c r="B11" s="7"/>
    </row>
    <row r="12" spans="1:7" x14ac:dyDescent="0.4">
      <c r="B12" t="s">
        <v>25</v>
      </c>
      <c r="C12">
        <v>-1</v>
      </c>
      <c r="D12">
        <v>-0.5</v>
      </c>
      <c r="E12">
        <v>0</v>
      </c>
      <c r="F12">
        <v>0.5</v>
      </c>
      <c r="G12">
        <v>1</v>
      </c>
    </row>
    <row r="13" spans="1:7" x14ac:dyDescent="0.4">
      <c r="B13">
        <v>10</v>
      </c>
      <c r="C13" s="2">
        <f>Diamond($B$7,$B$8,C$12,$B13)</f>
        <v>69829744.568676189</v>
      </c>
      <c r="D13" s="2">
        <f t="shared" ref="D13:G17" si="0">Diamond($B$7,$B$8,D$12,$B13)</f>
        <v>72370442.292685151</v>
      </c>
      <c r="E13" s="2">
        <f t="shared" si="0"/>
        <v>68811116.773797259</v>
      </c>
      <c r="F13" s="2">
        <f t="shared" si="0"/>
        <v>61730212.63907434</v>
      </c>
      <c r="G13" s="2">
        <f t="shared" si="0"/>
        <v>76443954.894325197</v>
      </c>
    </row>
    <row r="14" spans="1:7" x14ac:dyDescent="0.4">
      <c r="B14">
        <v>100</v>
      </c>
      <c r="C14" s="2">
        <f t="shared" ref="C14:C15" si="1">Diamond($B$7,$B$8,C$12,$B14)</f>
        <v>69383896.250470489</v>
      </c>
      <c r="D14" s="2">
        <f t="shared" si="0"/>
        <v>66180649.927013494</v>
      </c>
      <c r="E14" s="2">
        <f t="shared" si="0"/>
        <v>66752918.409425795</v>
      </c>
      <c r="F14" s="2">
        <f t="shared" si="0"/>
        <v>70063762.937199131</v>
      </c>
      <c r="G14" s="2">
        <f t="shared" si="0"/>
        <v>67629956.871040657</v>
      </c>
    </row>
    <row r="15" spans="1:7" x14ac:dyDescent="0.4">
      <c r="B15">
        <v>1000</v>
      </c>
      <c r="C15" s="2">
        <f t="shared" si="1"/>
        <v>66826225.984938636</v>
      </c>
      <c r="D15" s="2">
        <f t="shared" si="0"/>
        <v>67233814.519577473</v>
      </c>
      <c r="E15" s="2">
        <f t="shared" si="0"/>
        <v>67878753.017489299</v>
      </c>
      <c r="F15" s="2">
        <f t="shared" si="0"/>
        <v>68041654.017387867</v>
      </c>
      <c r="G15" s="2">
        <f t="shared" si="0"/>
        <v>67157987.756415069</v>
      </c>
    </row>
    <row r="16" spans="1:7" x14ac:dyDescent="0.4">
      <c r="B16">
        <v>10000</v>
      </c>
      <c r="C16" s="2">
        <f>Diamond($B$7,$B$8,C$12,$B16)</f>
        <v>67438827.966003686</v>
      </c>
      <c r="D16" s="2">
        <f t="shared" si="0"/>
        <v>67097834.38138701</v>
      </c>
      <c r="E16" s="2">
        <f t="shared" si="0"/>
        <v>67133322.444762066</v>
      </c>
      <c r="F16" s="2">
        <f t="shared" si="0"/>
        <v>66864430.000283979</v>
      </c>
      <c r="G16" s="2">
        <f t="shared" si="0"/>
        <v>66838300.239210404</v>
      </c>
    </row>
    <row r="17" spans="1:7" x14ac:dyDescent="0.4">
      <c r="B17">
        <v>100000</v>
      </c>
      <c r="C17" s="2">
        <f>Diamond($B$7,$B$8,C$12,$B17)</f>
        <v>66873273.530425653</v>
      </c>
      <c r="D17" s="2">
        <f t="shared" si="0"/>
        <v>67051025.169394076</v>
      </c>
      <c r="E17" s="2">
        <f t="shared" si="0"/>
        <v>66901505.644012131</v>
      </c>
      <c r="F17" s="2">
        <f t="shared" si="0"/>
        <v>66960539.309542552</v>
      </c>
      <c r="G17" s="2">
        <f t="shared" si="0"/>
        <v>66996249.060291886</v>
      </c>
    </row>
    <row r="18" spans="1:7" x14ac:dyDescent="0.4">
      <c r="C18" s="2"/>
      <c r="D18" s="2"/>
      <c r="E18" s="2"/>
      <c r="F18" s="2"/>
      <c r="G18" s="2"/>
    </row>
    <row r="19" spans="1:7" x14ac:dyDescent="0.4">
      <c r="A19" s="7" t="s">
        <v>27</v>
      </c>
      <c r="B19" s="7"/>
      <c r="C19" s="7"/>
    </row>
    <row r="20" spans="1:7" x14ac:dyDescent="0.4">
      <c r="A20" s="6"/>
      <c r="B20" s="6" t="s">
        <v>28</v>
      </c>
      <c r="C20" s="6" t="s">
        <v>29</v>
      </c>
      <c r="D20" t="s">
        <v>30</v>
      </c>
      <c r="E20" s="6" t="s">
        <v>25</v>
      </c>
    </row>
    <row r="21" spans="1:7" x14ac:dyDescent="0.4">
      <c r="A21" s="1">
        <v>0.01</v>
      </c>
      <c r="B21" s="4">
        <f>53000000*(-$B$2)*bs(1/$B$2,1/$B$2,$B$4,$B$5,A21,$B$10,"put")</f>
        <v>-195.57333125589295</v>
      </c>
      <c r="C21" s="3">
        <f>53000000*(5*$B$3)*bs(1/$B$3,6/(5*$B$3),$B$4,$B$6,A21,$B$10,"put")</f>
        <v>69795667.7972783</v>
      </c>
      <c r="D21" s="5">
        <f>53000000 * ( -0.03) * EXP(-$B$4*1)</f>
        <v>-1512454.7849561353</v>
      </c>
      <c r="E21" s="2">
        <f>SUM(B21:D21)</f>
        <v>68283017.438990906</v>
      </c>
    </row>
    <row r="22" spans="1:7" x14ac:dyDescent="0.4">
      <c r="A22" s="1">
        <v>0.05</v>
      </c>
      <c r="B22" s="4">
        <f t="shared" ref="B22:B26" si="2">53000000*(-$B$2)*bs(1/$B$2,1/$B$2,$B$4,$B$5,A22,$B$10,"put")</f>
        <v>-431536.3278604541</v>
      </c>
      <c r="C22" s="3">
        <f t="shared" ref="C22:C26" si="3">53000000*(5*$B$3)*bs(1/$B$3,6/(5*$B$3),$B$4,$B$6,A22,$B$10,"put")</f>
        <v>69795667.981092185</v>
      </c>
      <c r="D22" s="5">
        <f t="shared" ref="D22:D27" si="4">53000000 * ( -0.03) * EXP(-$B$4*1)</f>
        <v>-1512454.7849561353</v>
      </c>
      <c r="E22" s="2">
        <f t="shared" ref="E22:E26" si="5">SUM(B22:D22)</f>
        <v>67851676.868275583</v>
      </c>
    </row>
    <row r="23" spans="1:7" x14ac:dyDescent="0.4">
      <c r="A23" s="1">
        <v>0.1</v>
      </c>
      <c r="B23" s="4">
        <f t="shared" si="2"/>
        <v>-1364444.5595728734</v>
      </c>
      <c r="C23" s="3">
        <f t="shared" si="3"/>
        <v>69831692.012125626</v>
      </c>
      <c r="D23" s="5">
        <f t="shared" si="4"/>
        <v>-1512454.7849561353</v>
      </c>
      <c r="E23" s="2">
        <f t="shared" si="5"/>
        <v>66954792.667596616</v>
      </c>
    </row>
    <row r="24" spans="1:7" x14ac:dyDescent="0.4">
      <c r="A24" s="1">
        <v>0.2</v>
      </c>
      <c r="B24" s="4">
        <f t="shared" si="2"/>
        <v>-3354942.7326014568</v>
      </c>
      <c r="C24" s="3">
        <f t="shared" si="3"/>
        <v>72144285.339360788</v>
      </c>
      <c r="D24" s="5">
        <f t="shared" si="4"/>
        <v>-1512454.7849561353</v>
      </c>
      <c r="E24" s="2">
        <f t="shared" si="5"/>
        <v>67276887.821803182</v>
      </c>
    </row>
    <row r="25" spans="1:7" x14ac:dyDescent="0.4">
      <c r="A25" s="1">
        <v>0.3</v>
      </c>
      <c r="B25" s="4">
        <f t="shared" si="2"/>
        <v>-5365378.8857053081</v>
      </c>
      <c r="C25" s="3">
        <f t="shared" si="3"/>
        <v>78114160.498724863</v>
      </c>
      <c r="D25" s="5">
        <f t="shared" si="4"/>
        <v>-1512454.7849561353</v>
      </c>
      <c r="E25" s="2">
        <f t="shared" si="5"/>
        <v>71236326.828063414</v>
      </c>
    </row>
    <row r="26" spans="1:7" x14ac:dyDescent="0.4">
      <c r="A26" s="1">
        <v>0.5</v>
      </c>
      <c r="B26" s="4">
        <f t="shared" si="2"/>
        <v>-9354260.6479715239</v>
      </c>
      <c r="C26" s="3">
        <f t="shared" si="3"/>
        <v>94635778.387274131</v>
      </c>
      <c r="D26" s="5">
        <f t="shared" si="4"/>
        <v>-1512454.7849561353</v>
      </c>
      <c r="E26" s="2">
        <f t="shared" si="5"/>
        <v>83769062.954346463</v>
      </c>
    </row>
    <row r="27" spans="1:7" x14ac:dyDescent="0.4">
      <c r="A27" s="1">
        <v>1</v>
      </c>
      <c r="B27" s="4">
        <f t="shared" ref="B27" si="6">53000000*(-$B$2)*bs(1/$B$2,1/$B$2,$B$4,$B$5,A27,$B$10,"put")</f>
        <v>-18839609.206804562</v>
      </c>
      <c r="C27" s="3">
        <f t="shared" ref="C27" si="7">53000000*(5*$B$3)*bs(1/$B$3,6/(5*$B$3),$B$4,$B$6,A27,$B$10,"put")</f>
        <v>140565949.88696685</v>
      </c>
      <c r="D27" s="5">
        <f t="shared" si="4"/>
        <v>-1512454.7849561353</v>
      </c>
      <c r="E27" s="2">
        <f t="shared" ref="E27" si="8">SUM(B27:D27)</f>
        <v>120213885.89520615</v>
      </c>
    </row>
  </sheetData>
  <mergeCells count="2">
    <mergeCell ref="A19:C19"/>
    <mergeCell ref="A11:B1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G18" sqref="G18:G19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gbm</vt:lpstr>
      <vt:lpstr>Euro option</vt:lpstr>
      <vt:lpstr>Diamond fund</vt:lpstr>
      <vt:lpstr>ELS 시뮬레이션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한승표</dc:creator>
  <cp:lastModifiedBy>한승표</cp:lastModifiedBy>
  <dcterms:created xsi:type="dcterms:W3CDTF">2018-09-13T05:08:25Z</dcterms:created>
  <dcterms:modified xsi:type="dcterms:W3CDTF">2018-09-20T05:26:57Z</dcterms:modified>
</cp:coreProperties>
</file>